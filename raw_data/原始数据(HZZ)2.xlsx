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90460\Desktop\"/>
    </mc:Choice>
  </mc:AlternateContent>
  <xr:revisionPtr revIDLastSave="0" documentId="13_ncr:1_{8CE52726-06A6-4EC2-AA20-6B440564CC3A}" xr6:coauthVersionLast="47" xr6:coauthVersionMax="47" xr10:uidLastSave="{00000000-0000-0000-0000-000000000000}"/>
  <bookViews>
    <workbookView xWindow="-107" yWindow="-107" windowWidth="20847" windowHeight="12401" xr2:uid="{00000000-000D-0000-FFFF-FFFF00000000}"/>
  </bookViews>
  <sheets>
    <sheet name="TFB" sheetId="6" r:id="rId1"/>
    <sheet name="DLY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7" i="7" l="1"/>
  <c r="L13" i="6"/>
  <c r="M13" i="6"/>
  <c r="AB5" i="7"/>
  <c r="AC5" i="7" s="1"/>
  <c r="AB6" i="7"/>
  <c r="AC6" i="7" s="1"/>
  <c r="AB7" i="7"/>
  <c r="AC7" i="7" s="1"/>
  <c r="AB8" i="7"/>
  <c r="AC8" i="7" s="1"/>
  <c r="AB9" i="7"/>
  <c r="AC9" i="7" s="1"/>
  <c r="AB10" i="7"/>
  <c r="AB11" i="7"/>
  <c r="AB12" i="7"/>
  <c r="AB13" i="7"/>
  <c r="AB14" i="7"/>
  <c r="AC14" i="7" s="1"/>
  <c r="AB15" i="7"/>
  <c r="AC15" i="7" s="1"/>
  <c r="AB16" i="7"/>
  <c r="AC16" i="7" s="1"/>
  <c r="AB17" i="7"/>
  <c r="AC17" i="7" s="1"/>
  <c r="AB18" i="7"/>
  <c r="AC18" i="7" s="1"/>
  <c r="AB19" i="7"/>
  <c r="AC19" i="7" s="1"/>
  <c r="AB20" i="7"/>
  <c r="AC20" i="7" s="1"/>
  <c r="AB21" i="7"/>
  <c r="AC21" i="7" s="1"/>
  <c r="AB22" i="7"/>
  <c r="AC22" i="7" s="1"/>
  <c r="AB23" i="7"/>
  <c r="AC23" i="7" s="1"/>
  <c r="AB24" i="7"/>
  <c r="AC24" i="7" s="1"/>
  <c r="AB25" i="7"/>
  <c r="AC25" i="7" s="1"/>
  <c r="AB4" i="7"/>
  <c r="AC10" i="7"/>
  <c r="AC11" i="7"/>
  <c r="AC12" i="7"/>
  <c r="AC13" i="7"/>
  <c r="AA26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4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D4" i="6"/>
  <c r="D5" i="6"/>
  <c r="D6" i="6"/>
  <c r="D7" i="6"/>
  <c r="D8" i="6"/>
  <c r="D9" i="6"/>
  <c r="D10" i="6"/>
  <c r="D11" i="6"/>
  <c r="M5" i="6"/>
  <c r="M6" i="6"/>
  <c r="M7" i="6"/>
  <c r="M8" i="6"/>
  <c r="M9" i="6"/>
  <c r="M10" i="6"/>
  <c r="M11" i="6"/>
  <c r="M4" i="6"/>
  <c r="R9" i="6"/>
  <c r="R4" i="6"/>
  <c r="R5" i="6"/>
  <c r="R8" i="6"/>
  <c r="U12" i="6"/>
  <c r="S12" i="6"/>
  <c r="T11" i="6"/>
  <c r="T10" i="6"/>
  <c r="T9" i="6"/>
  <c r="T8" i="6"/>
  <c r="T7" i="6"/>
  <c r="T6" i="6"/>
  <c r="T5" i="6"/>
  <c r="T4" i="6"/>
  <c r="AB26" i="7" l="1"/>
  <c r="AC4" i="7"/>
  <c r="AC26" i="7" s="1"/>
  <c r="T12" i="6"/>
  <c r="L12" i="6" l="1"/>
  <c r="P12" i="6"/>
  <c r="M12" i="6"/>
  <c r="O11" i="6"/>
  <c r="O10" i="6"/>
  <c r="O9" i="6"/>
  <c r="O8" i="6"/>
  <c r="O7" i="6"/>
  <c r="O6" i="6"/>
  <c r="O5" i="6"/>
  <c r="I17" i="6"/>
  <c r="I18" i="6"/>
  <c r="I19" i="6"/>
  <c r="I20" i="6"/>
  <c r="I21" i="6"/>
  <c r="I22" i="6"/>
  <c r="I23" i="6"/>
  <c r="I16" i="6"/>
  <c r="I5" i="6"/>
  <c r="I6" i="6"/>
  <c r="I7" i="6"/>
  <c r="I8" i="6"/>
  <c r="I9" i="6"/>
  <c r="I10" i="6"/>
  <c r="I11" i="6"/>
  <c r="I4" i="6"/>
  <c r="G24" i="6"/>
  <c r="D17" i="6"/>
  <c r="D18" i="6"/>
  <c r="D19" i="6"/>
  <c r="D20" i="6"/>
  <c r="D21" i="6"/>
  <c r="D22" i="6"/>
  <c r="D23" i="6"/>
  <c r="D16" i="6"/>
  <c r="C24" i="6"/>
  <c r="G12" i="6"/>
  <c r="N12" i="6" l="1"/>
  <c r="O4" i="6"/>
  <c r="O12" i="6" s="1"/>
  <c r="E5" i="6"/>
  <c r="E6" i="6"/>
  <c r="E7" i="6"/>
  <c r="E8" i="6"/>
  <c r="E9" i="6"/>
  <c r="E10" i="6"/>
  <c r="E11" i="6"/>
  <c r="E4" i="6"/>
  <c r="J21" i="6" l="1"/>
  <c r="J20" i="6"/>
  <c r="K12" i="6"/>
  <c r="J5" i="6"/>
  <c r="J6" i="6"/>
  <c r="J7" i="6"/>
  <c r="J8" i="6"/>
  <c r="J9" i="6"/>
  <c r="J11" i="6"/>
  <c r="J4" i="6"/>
  <c r="D12" i="6"/>
  <c r="E12" i="6"/>
  <c r="F12" i="6"/>
  <c r="C12" i="6"/>
  <c r="B12" i="6"/>
  <c r="E21" i="6" l="1"/>
  <c r="E20" i="6"/>
  <c r="E24" i="6" s="1"/>
  <c r="I12" i="6"/>
  <c r="J10" i="6"/>
  <c r="J12" i="6" s="1"/>
  <c r="F24" i="6"/>
  <c r="J24" i="6"/>
  <c r="K24" i="6"/>
  <c r="D24" i="6" l="1"/>
  <c r="I24" i="6"/>
  <c r="H24" i="6"/>
  <c r="B24" i="6"/>
  <c r="H12" i="6"/>
  <c r="R11" i="6"/>
  <c r="R6" i="6"/>
  <c r="R10" i="6"/>
  <c r="Q12" i="6"/>
  <c r="R7" i="6"/>
  <c r="R12" i="6" l="1"/>
</calcChain>
</file>

<file path=xl/sharedStrings.xml><?xml version="1.0" encoding="utf-8"?>
<sst xmlns="http://schemas.openxmlformats.org/spreadsheetml/2006/main" count="110" uniqueCount="67">
  <si>
    <t>p-value</t>
  </si>
  <si>
    <t>Initial BW (kg)</t>
  </si>
  <si>
    <t>Final BW (kg)</t>
  </si>
  <si>
    <t>F/G</t>
  </si>
  <si>
    <t>Items</t>
    <phoneticPr fontId="1" type="noConversion"/>
  </si>
  <si>
    <t>品种</t>
    <phoneticPr fontId="1" type="noConversion"/>
  </si>
  <si>
    <t>TFB</t>
    <phoneticPr fontId="1" type="noConversion"/>
  </si>
  <si>
    <t>F/G</t>
    <phoneticPr fontId="1" type="noConversion"/>
  </si>
  <si>
    <t>DLY</t>
    <phoneticPr fontId="1" type="noConversion"/>
  </si>
  <si>
    <t>平均值</t>
    <phoneticPr fontId="1" type="noConversion"/>
  </si>
  <si>
    <t>0dW,kg</t>
    <phoneticPr fontId="1" type="noConversion"/>
  </si>
  <si>
    <t>14dW,kg</t>
    <phoneticPr fontId="1" type="noConversion"/>
  </si>
  <si>
    <t>ADG,kg/d</t>
    <phoneticPr fontId="1" type="noConversion"/>
  </si>
  <si>
    <t>ADFI,kg/d</t>
    <phoneticPr fontId="1" type="noConversion"/>
  </si>
  <si>
    <t>ADFI (kg/d)</t>
    <phoneticPr fontId="1" type="noConversion"/>
  </si>
  <si>
    <t>ADG (kg/d)</t>
    <phoneticPr fontId="1" type="noConversion"/>
  </si>
  <si>
    <t>Feeding days</t>
    <phoneticPr fontId="1" type="noConversion"/>
  </si>
  <si>
    <t>DLY</t>
    <phoneticPr fontId="1" type="noConversion"/>
  </si>
  <si>
    <t>TFB</t>
    <phoneticPr fontId="1" type="noConversion"/>
  </si>
  <si>
    <t>7.5-15kg</t>
  </si>
  <si>
    <t>7.5-15kg</t>
    <phoneticPr fontId="1" type="noConversion"/>
  </si>
  <si>
    <t>15-45kg</t>
    <phoneticPr fontId="1" type="noConversion"/>
  </si>
  <si>
    <t>SEM</t>
    <phoneticPr fontId="1" type="noConversion"/>
  </si>
  <si>
    <t>25dW,kg</t>
    <phoneticPr fontId="1" type="noConversion"/>
  </si>
  <si>
    <t>15dW, kg</t>
    <phoneticPr fontId="1" type="noConversion"/>
  </si>
  <si>
    <t>60dW, kg</t>
    <phoneticPr fontId="1" type="noConversion"/>
  </si>
  <si>
    <t>&lt;0.001</t>
    <phoneticPr fontId="1" type="noConversion"/>
  </si>
  <si>
    <t>6-15kg</t>
    <phoneticPr fontId="1" type="noConversion"/>
  </si>
  <si>
    <t>15-45kg</t>
    <phoneticPr fontId="1" type="noConversion"/>
  </si>
  <si>
    <t>45-75kg</t>
    <phoneticPr fontId="1" type="noConversion"/>
  </si>
  <si>
    <t>75-105kg</t>
    <phoneticPr fontId="1" type="noConversion"/>
  </si>
  <si>
    <t>体重阶段</t>
    <phoneticPr fontId="1" type="noConversion"/>
  </si>
  <si>
    <t>0-28d</t>
    <phoneticPr fontId="1" type="noConversion"/>
  </si>
  <si>
    <t>29-85d</t>
    <phoneticPr fontId="1" type="noConversion"/>
  </si>
  <si>
    <t>86-128d</t>
    <phoneticPr fontId="1" type="noConversion"/>
  </si>
  <si>
    <t>129-171d</t>
    <phoneticPr fontId="1" type="noConversion"/>
  </si>
  <si>
    <t>0-14d</t>
    <phoneticPr fontId="1" type="noConversion"/>
  </si>
  <si>
    <t>15-60d</t>
    <phoneticPr fontId="1" type="noConversion"/>
  </si>
  <si>
    <t>体重阶段</t>
  </si>
  <si>
    <t>8-15kg</t>
  </si>
  <si>
    <t>15-45kg</t>
  </si>
  <si>
    <t>45-72kg</t>
  </si>
  <si>
    <t>72-108kg</t>
  </si>
  <si>
    <t>108-135kg</t>
  </si>
  <si>
    <t>重复</t>
  </si>
  <si>
    <t>31-44d</t>
  </si>
  <si>
    <t>44-89d</t>
  </si>
  <si>
    <t>89-116d</t>
  </si>
  <si>
    <t>116-152d</t>
  </si>
  <si>
    <t>152-180d</t>
  </si>
  <si>
    <t>31dW,kg</t>
  </si>
  <si>
    <t>44dW,kg</t>
  </si>
  <si>
    <t>ADG,kg/d</t>
  </si>
  <si>
    <t>ADFI,kg/d</t>
  </si>
  <si>
    <t>89dW, kg</t>
  </si>
  <si>
    <t>116dW,kg</t>
  </si>
  <si>
    <t>152dW, kg</t>
  </si>
  <si>
    <t>平均值</t>
  </si>
  <si>
    <t>86dW, kg</t>
    <phoneticPr fontId="1" type="noConversion"/>
  </si>
  <si>
    <t>128dW, kg</t>
    <phoneticPr fontId="1" type="noConversion"/>
  </si>
  <si>
    <t>129dW, kg</t>
    <phoneticPr fontId="1" type="noConversion"/>
  </si>
  <si>
    <t>29dW, kg</t>
    <phoneticPr fontId="1" type="noConversion"/>
  </si>
  <si>
    <t>85dW, kg</t>
    <phoneticPr fontId="1" type="noConversion"/>
  </si>
  <si>
    <t>171dW, kg</t>
    <phoneticPr fontId="1" type="noConversion"/>
  </si>
  <si>
    <t>180dW, kg</t>
    <phoneticPr fontId="1" type="noConversion"/>
  </si>
  <si>
    <t>ADG</t>
    <phoneticPr fontId="1" type="noConversion"/>
  </si>
  <si>
    <t>42d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</si>
</sst>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_ "/>
    <numFmt numFmtId="178" formatCode="0.00_ "/>
    <numFmt numFmtId="179" formatCode="0.00_);[Red]\(0.0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11"/>
      <color rgb="FF1F1F1F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 readingOrder="1"/>
    </xf>
    <xf numFmtId="178" fontId="0" fillId="0" borderId="0" xfId="0" applyNumberFormat="1"/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 readingOrder="1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178" fontId="9" fillId="0" borderId="1" xfId="0" applyNumberFormat="1" applyFont="1" applyBorder="1" applyAlignment="1">
      <alignment vertical="center"/>
    </xf>
    <xf numFmtId="178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/>
    </xf>
    <xf numFmtId="179" fontId="9" fillId="0" borderId="1" xfId="0" applyNumberFormat="1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176" fontId="8" fillId="0" borderId="0" xfId="0" applyNumberFormat="1" applyFont="1"/>
    <xf numFmtId="179" fontId="8" fillId="0" borderId="0" xfId="0" applyNumberFormat="1" applyFont="1"/>
    <xf numFmtId="176" fontId="2" fillId="2" borderId="5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79B2-7E0F-4DA0-9015-E7491F9DD973}">
  <dimension ref="A1:U33"/>
  <sheetViews>
    <sheetView tabSelected="1" topLeftCell="F1" workbookViewId="0">
      <selection activeCell="W9" sqref="W9"/>
    </sheetView>
  </sheetViews>
  <sheetFormatPr defaultRowHeight="14" x14ac:dyDescent="0.3"/>
  <cols>
    <col min="1" max="1" width="12.1796875" customWidth="1"/>
    <col min="2" max="2" width="12.08984375" style="1" customWidth="1"/>
    <col min="3" max="3" width="11.90625" style="1" customWidth="1"/>
    <col min="4" max="4" width="9.90625" style="1" customWidth="1"/>
    <col min="5" max="5" width="8.6328125" style="1"/>
    <col min="6" max="6" width="7.26953125" style="1" customWidth="1"/>
    <col min="7" max="7" width="8.81640625" style="1" customWidth="1"/>
    <col min="8" max="8" width="9.36328125" style="1" bestFit="1" customWidth="1"/>
    <col min="9" max="9" width="11.08984375" style="1" customWidth="1"/>
    <col min="10" max="11" width="8.6328125" style="1"/>
    <col min="13" max="13" width="11" customWidth="1"/>
    <col min="17" max="18" width="10.7265625" customWidth="1"/>
  </cols>
  <sheetData>
    <row r="1" spans="1:21" s="24" customFormat="1" ht="24.75" customHeight="1" x14ac:dyDescent="0.3">
      <c r="A1" s="23" t="s">
        <v>31</v>
      </c>
      <c r="B1" s="51" t="s">
        <v>27</v>
      </c>
      <c r="C1" s="52"/>
      <c r="D1" s="52"/>
      <c r="E1" s="52"/>
      <c r="F1" s="53"/>
      <c r="G1" s="54" t="s">
        <v>28</v>
      </c>
      <c r="H1" s="55"/>
      <c r="I1" s="55"/>
      <c r="J1" s="55"/>
      <c r="K1" s="56"/>
      <c r="L1" s="57" t="s">
        <v>29</v>
      </c>
      <c r="M1" s="57"/>
      <c r="N1" s="57"/>
      <c r="O1" s="57"/>
      <c r="P1" s="57"/>
      <c r="Q1" s="58" t="s">
        <v>30</v>
      </c>
      <c r="R1" s="58"/>
      <c r="S1" s="58"/>
      <c r="T1" s="58"/>
      <c r="U1" s="58"/>
    </row>
    <row r="2" spans="1:21" s="2" customFormat="1" ht="18" customHeight="1" x14ac:dyDescent="0.3">
      <c r="A2" s="42" t="s">
        <v>5</v>
      </c>
      <c r="B2" s="47" t="s">
        <v>32</v>
      </c>
      <c r="C2" s="47"/>
      <c r="D2" s="47"/>
      <c r="E2" s="47"/>
      <c r="F2" s="47"/>
      <c r="G2" s="48" t="s">
        <v>33</v>
      </c>
      <c r="H2" s="47"/>
      <c r="I2" s="47"/>
      <c r="J2" s="47"/>
      <c r="K2" s="47"/>
      <c r="L2" s="47" t="s">
        <v>34</v>
      </c>
      <c r="M2" s="47"/>
      <c r="N2" s="47"/>
      <c r="O2" s="47"/>
      <c r="P2" s="47"/>
      <c r="Q2" s="47" t="s">
        <v>35</v>
      </c>
      <c r="R2" s="47"/>
      <c r="S2" s="47"/>
      <c r="T2" s="47"/>
      <c r="U2" s="47"/>
    </row>
    <row r="3" spans="1:21" ht="17.5" customHeight="1" x14ac:dyDescent="0.3">
      <c r="A3" s="43"/>
      <c r="B3" s="6" t="s">
        <v>10</v>
      </c>
      <c r="C3" s="6" t="s">
        <v>23</v>
      </c>
      <c r="D3" s="7" t="s">
        <v>12</v>
      </c>
      <c r="E3" s="7" t="s">
        <v>13</v>
      </c>
      <c r="F3" s="7" t="s">
        <v>7</v>
      </c>
      <c r="G3" s="7" t="s">
        <v>61</v>
      </c>
      <c r="H3" s="6" t="s">
        <v>62</v>
      </c>
      <c r="I3" s="7" t="s">
        <v>12</v>
      </c>
      <c r="J3" s="7" t="s">
        <v>13</v>
      </c>
      <c r="K3" s="7" t="s">
        <v>7</v>
      </c>
      <c r="L3" s="6" t="s">
        <v>58</v>
      </c>
      <c r="M3" s="6" t="s">
        <v>59</v>
      </c>
      <c r="N3" s="7" t="s">
        <v>12</v>
      </c>
      <c r="O3" s="7" t="s">
        <v>13</v>
      </c>
      <c r="P3" s="7" t="s">
        <v>7</v>
      </c>
      <c r="Q3" s="6" t="s">
        <v>60</v>
      </c>
      <c r="R3" s="6" t="s">
        <v>63</v>
      </c>
      <c r="S3" s="7" t="s">
        <v>12</v>
      </c>
      <c r="T3" s="7" t="s">
        <v>13</v>
      </c>
      <c r="U3" s="7" t="s">
        <v>7</v>
      </c>
    </row>
    <row r="4" spans="1:21" x14ac:dyDescent="0.3">
      <c r="A4" s="44" t="s">
        <v>6</v>
      </c>
      <c r="B4" s="14">
        <v>6.8710000000000004</v>
      </c>
      <c r="C4" s="13">
        <v>15.045</v>
      </c>
      <c r="D4" s="13">
        <f>(C4-B4)/28</f>
        <v>0.29192857142857143</v>
      </c>
      <c r="E4" s="13">
        <f>D4*F4</f>
        <v>0.4825579285714286</v>
      </c>
      <c r="F4" s="13">
        <v>1.653</v>
      </c>
      <c r="G4" s="13">
        <v>14.930999999999999</v>
      </c>
      <c r="H4" s="13">
        <v>47.765000000000001</v>
      </c>
      <c r="I4" s="16">
        <f>(H4-G4)/56</f>
        <v>0.58632142857142866</v>
      </c>
      <c r="J4" s="17">
        <f>I4*K4</f>
        <v>1.3110147142857147</v>
      </c>
      <c r="K4" s="18">
        <v>2.2360000000000002</v>
      </c>
      <c r="L4" s="13">
        <v>45.875</v>
      </c>
      <c r="M4" s="13">
        <f>L4+N4*42</f>
        <v>76.156999999999996</v>
      </c>
      <c r="N4" s="16">
        <v>0.72099999999999997</v>
      </c>
      <c r="O4" s="17">
        <f>N4*P4</f>
        <v>2.2185169999999999</v>
      </c>
      <c r="P4" s="18">
        <v>3.077</v>
      </c>
      <c r="Q4" s="13">
        <v>74.239999999999995</v>
      </c>
      <c r="R4" s="13">
        <f>Q4+S4*42</f>
        <v>103.38799999999999</v>
      </c>
      <c r="S4" s="16">
        <v>0.69399999999999995</v>
      </c>
      <c r="T4" s="17">
        <f>S4*U4</f>
        <v>2.4054039999999999</v>
      </c>
      <c r="U4" s="18">
        <v>3.4660000000000002</v>
      </c>
    </row>
    <row r="5" spans="1:21" x14ac:dyDescent="0.3">
      <c r="A5" s="45"/>
      <c r="B5" s="15">
        <v>7.9139999999999997</v>
      </c>
      <c r="C5" s="13">
        <v>16.143107142857101</v>
      </c>
      <c r="D5" s="13">
        <f t="shared" ref="D5:D11" si="0">(C5-B5)/28</f>
        <v>0.29389668367346788</v>
      </c>
      <c r="E5" s="13">
        <f t="shared" ref="E5:E11" si="1">D5*F5</f>
        <v>0.46171169005101803</v>
      </c>
      <c r="F5" s="13">
        <v>1.571</v>
      </c>
      <c r="G5" s="13">
        <v>15.164999999999999</v>
      </c>
      <c r="H5" s="13">
        <v>45.558999999999997</v>
      </c>
      <c r="I5" s="16">
        <f t="shared" ref="I5:I11" si="2">(H5-G5)/56</f>
        <v>0.54274999999999995</v>
      </c>
      <c r="J5" s="17">
        <f t="shared" ref="J5:J11" si="3">I5*K5</f>
        <v>1.27057775</v>
      </c>
      <c r="K5" s="18">
        <v>2.3410000000000002</v>
      </c>
      <c r="L5" s="13">
        <v>44.176000000000002</v>
      </c>
      <c r="M5" s="13">
        <f t="shared" ref="M5:M11" si="4">L5+N5*42</f>
        <v>73.786000000000001</v>
      </c>
      <c r="N5" s="16">
        <v>0.70499999999999996</v>
      </c>
      <c r="O5" s="17">
        <f t="shared" ref="O5:O11" si="5">N5*P5</f>
        <v>2.2221600000000001</v>
      </c>
      <c r="P5" s="18">
        <v>3.1520000000000001</v>
      </c>
      <c r="Q5" s="13">
        <v>73.411000000000001</v>
      </c>
      <c r="R5" s="13">
        <f>Q5+S5*42</f>
        <v>102.01300000000001</v>
      </c>
      <c r="S5" s="16">
        <v>0.68100000000000005</v>
      </c>
      <c r="T5" s="17">
        <f t="shared" ref="T5:T11" si="6">S5*U5</f>
        <v>2.3971200000000001</v>
      </c>
      <c r="U5" s="18">
        <v>3.52</v>
      </c>
    </row>
    <row r="6" spans="1:21" x14ac:dyDescent="0.3">
      <c r="A6" s="45"/>
      <c r="B6" s="15">
        <v>7.39</v>
      </c>
      <c r="C6" s="13">
        <v>14.928000000000001</v>
      </c>
      <c r="D6" s="13">
        <f t="shared" si="0"/>
        <v>0.26921428571428574</v>
      </c>
      <c r="E6" s="13">
        <f t="shared" si="1"/>
        <v>0.45497214285714288</v>
      </c>
      <c r="F6" s="13">
        <v>1.69</v>
      </c>
      <c r="G6" s="13">
        <v>14.534000000000001</v>
      </c>
      <c r="H6" s="13">
        <v>43.361999999999995</v>
      </c>
      <c r="I6" s="16">
        <f t="shared" si="2"/>
        <v>0.51478571428571418</v>
      </c>
      <c r="J6" s="17">
        <f t="shared" si="3"/>
        <v>1.2179829999999998</v>
      </c>
      <c r="K6" s="18">
        <v>2.3660000000000001</v>
      </c>
      <c r="L6" s="13">
        <v>42.264000000000003</v>
      </c>
      <c r="M6" s="13">
        <f t="shared" si="4"/>
        <v>71.622</v>
      </c>
      <c r="N6" s="16">
        <v>0.69899999999999995</v>
      </c>
      <c r="O6" s="17">
        <f t="shared" si="5"/>
        <v>2.2381979999999997</v>
      </c>
      <c r="P6" s="18">
        <v>3.202</v>
      </c>
      <c r="Q6" s="13">
        <v>72.320999999999998</v>
      </c>
      <c r="R6" s="13">
        <f t="shared" ref="R6:R11" si="7">Q6+S6*43</f>
        <v>102.292</v>
      </c>
      <c r="S6" s="16">
        <v>0.69699999999999995</v>
      </c>
      <c r="T6" s="17">
        <f t="shared" si="6"/>
        <v>2.5384739999999999</v>
      </c>
      <c r="U6" s="18">
        <v>3.6419999999999999</v>
      </c>
    </row>
    <row r="7" spans="1:21" x14ac:dyDescent="0.3">
      <c r="A7" s="45"/>
      <c r="B7" s="15">
        <v>7.6829999999999998</v>
      </c>
      <c r="C7" s="13">
        <v>15.875999999999999</v>
      </c>
      <c r="D7" s="13">
        <f t="shared" si="0"/>
        <v>0.29260714285714284</v>
      </c>
      <c r="E7" s="13">
        <f t="shared" si="1"/>
        <v>0.49216521428571425</v>
      </c>
      <c r="F7" s="13">
        <v>1.6819999999999999</v>
      </c>
      <c r="G7" s="13">
        <v>14.738</v>
      </c>
      <c r="H7" s="13">
        <v>42.263000000000005</v>
      </c>
      <c r="I7" s="16">
        <f t="shared" si="2"/>
        <v>0.49151785714285723</v>
      </c>
      <c r="J7" s="17">
        <f t="shared" si="3"/>
        <v>1.1078812500000002</v>
      </c>
      <c r="K7" s="18">
        <v>2.254</v>
      </c>
      <c r="L7" s="13">
        <v>42.262999999999998</v>
      </c>
      <c r="M7" s="13">
        <f t="shared" si="4"/>
        <v>71.998999999999995</v>
      </c>
      <c r="N7" s="16">
        <v>0.70799999999999996</v>
      </c>
      <c r="O7" s="17">
        <f t="shared" si="5"/>
        <v>2.1919680000000001</v>
      </c>
      <c r="P7" s="18">
        <v>3.0960000000000001</v>
      </c>
      <c r="Q7" s="13">
        <v>72.578000000000003</v>
      </c>
      <c r="R7" s="13">
        <f t="shared" si="7"/>
        <v>102.205</v>
      </c>
      <c r="S7" s="16">
        <v>0.68899999999999995</v>
      </c>
      <c r="T7" s="17">
        <f t="shared" si="6"/>
        <v>2.4101219999999999</v>
      </c>
      <c r="U7" s="18">
        <v>3.4980000000000002</v>
      </c>
    </row>
    <row r="8" spans="1:21" x14ac:dyDescent="0.3">
      <c r="A8" s="45"/>
      <c r="B8" s="15">
        <v>6.9349999999999996</v>
      </c>
      <c r="C8" s="13">
        <v>15.305000000000001</v>
      </c>
      <c r="D8" s="13">
        <f t="shared" si="0"/>
        <v>0.29892857142857149</v>
      </c>
      <c r="E8" s="13">
        <f t="shared" si="1"/>
        <v>0.49299847294351906</v>
      </c>
      <c r="F8" s="13">
        <v>1.6492183085326799</v>
      </c>
      <c r="G8" s="13">
        <v>14.494999999999999</v>
      </c>
      <c r="H8" s="13">
        <v>41.501000000000005</v>
      </c>
      <c r="I8" s="16">
        <f t="shared" si="2"/>
        <v>0.48225000000000012</v>
      </c>
      <c r="J8" s="17">
        <f t="shared" si="3"/>
        <v>1.1670450000000003</v>
      </c>
      <c r="K8" s="18">
        <v>2.42</v>
      </c>
      <c r="L8" s="13">
        <v>41.500999999999998</v>
      </c>
      <c r="M8" s="13">
        <f t="shared" si="4"/>
        <v>70.733000000000004</v>
      </c>
      <c r="N8" s="16">
        <v>0.69599999999999995</v>
      </c>
      <c r="O8" s="17">
        <f t="shared" si="5"/>
        <v>2.0678160000000001</v>
      </c>
      <c r="P8" s="18">
        <v>2.9710000000000001</v>
      </c>
      <c r="Q8" s="13">
        <v>71.429000000000002</v>
      </c>
      <c r="R8" s="13">
        <f>Q8+S8*43</f>
        <v>100.45400000000001</v>
      </c>
      <c r="S8" s="16">
        <v>0.67500000000000004</v>
      </c>
      <c r="T8" s="17">
        <f t="shared" si="6"/>
        <v>2.4779249999999999</v>
      </c>
      <c r="U8" s="18">
        <v>3.6709999999999998</v>
      </c>
    </row>
    <row r="9" spans="1:21" x14ac:dyDescent="0.3">
      <c r="A9" s="45"/>
      <c r="B9" s="15">
        <v>7.8419999999999996</v>
      </c>
      <c r="C9" s="13">
        <v>16.261821428571427</v>
      </c>
      <c r="D9" s="13">
        <f t="shared" si="0"/>
        <v>0.30070790816326526</v>
      </c>
      <c r="E9" s="13">
        <f t="shared" si="1"/>
        <v>0.51142584103060873</v>
      </c>
      <c r="F9" s="13">
        <v>1.70073957866428</v>
      </c>
      <c r="G9" s="13">
        <v>14.962999999999999</v>
      </c>
      <c r="H9" s="13">
        <v>41.480999999999995</v>
      </c>
      <c r="I9" s="16">
        <f t="shared" si="2"/>
        <v>0.47353571428571417</v>
      </c>
      <c r="J9" s="17">
        <f t="shared" si="3"/>
        <v>1.1260679285714283</v>
      </c>
      <c r="K9" s="18">
        <v>2.3780000000000001</v>
      </c>
      <c r="L9" s="13">
        <v>41.480999999999995</v>
      </c>
      <c r="M9" s="13">
        <f t="shared" si="4"/>
        <v>71.384999999999991</v>
      </c>
      <c r="N9" s="16">
        <v>0.71199999999999997</v>
      </c>
      <c r="O9" s="17">
        <f t="shared" si="5"/>
        <v>2.230696</v>
      </c>
      <c r="P9" s="18">
        <v>3.133</v>
      </c>
      <c r="Q9" s="13">
        <v>70.968000000000004</v>
      </c>
      <c r="R9" s="13">
        <f>Q9+S9*43</f>
        <v>100.724</v>
      </c>
      <c r="S9" s="16">
        <v>0.69199999999999995</v>
      </c>
      <c r="T9" s="17">
        <f t="shared" si="6"/>
        <v>2.5257999999999998</v>
      </c>
      <c r="U9" s="18">
        <v>3.65</v>
      </c>
    </row>
    <row r="10" spans="1:21" x14ac:dyDescent="0.3">
      <c r="A10" s="45"/>
      <c r="B10" s="14">
        <v>8.3040000000000003</v>
      </c>
      <c r="C10" s="13">
        <v>17.002857142857099</v>
      </c>
      <c r="D10" s="13">
        <f t="shared" si="0"/>
        <v>0.31067346938775353</v>
      </c>
      <c r="E10" s="13">
        <f t="shared" si="1"/>
        <v>0.49847065790374107</v>
      </c>
      <c r="F10" s="13">
        <v>1.6044841514342401</v>
      </c>
      <c r="G10" s="13">
        <v>15.726000000000001</v>
      </c>
      <c r="H10" s="13">
        <v>44.08</v>
      </c>
      <c r="I10" s="16">
        <f t="shared" si="2"/>
        <v>0.50632142857142859</v>
      </c>
      <c r="J10" s="17">
        <f t="shared" si="3"/>
        <v>1.2197283214285715</v>
      </c>
      <c r="K10" s="18">
        <v>2.4089999999999998</v>
      </c>
      <c r="L10" s="13">
        <v>43.381999999999998</v>
      </c>
      <c r="M10" s="13">
        <f t="shared" si="4"/>
        <v>73.328000000000003</v>
      </c>
      <c r="N10" s="16">
        <v>0.71299999999999997</v>
      </c>
      <c r="O10" s="17">
        <f t="shared" si="5"/>
        <v>2.1853449999999999</v>
      </c>
      <c r="P10" s="18">
        <v>3.0649999999999999</v>
      </c>
      <c r="Q10" s="13">
        <v>72.775000000000006</v>
      </c>
      <c r="R10" s="13">
        <f t="shared" si="7"/>
        <v>102.35900000000001</v>
      </c>
      <c r="S10" s="16">
        <v>0.68799999999999994</v>
      </c>
      <c r="T10" s="17">
        <f t="shared" si="6"/>
        <v>2.3240639999999999</v>
      </c>
      <c r="U10" s="18">
        <v>3.3780000000000001</v>
      </c>
    </row>
    <row r="11" spans="1:21" x14ac:dyDescent="0.3">
      <c r="A11" s="46"/>
      <c r="B11" s="14">
        <v>7.7720000000000002</v>
      </c>
      <c r="C11" s="13">
        <v>16.380071428571402</v>
      </c>
      <c r="D11" s="13">
        <f t="shared" si="0"/>
        <v>0.30743112244897863</v>
      </c>
      <c r="E11" s="13">
        <f t="shared" si="1"/>
        <v>0.46988917963469862</v>
      </c>
      <c r="F11" s="13">
        <v>1.5284372508924551</v>
      </c>
      <c r="G11" s="13">
        <v>15.680999999999999</v>
      </c>
      <c r="H11" s="13">
        <v>46.73</v>
      </c>
      <c r="I11" s="16">
        <f t="shared" si="2"/>
        <v>0.55444642857142856</v>
      </c>
      <c r="J11" s="17">
        <f t="shared" si="3"/>
        <v>1.3040579999999999</v>
      </c>
      <c r="K11" s="18">
        <v>2.3519999999999999</v>
      </c>
      <c r="L11" s="13">
        <v>44.51</v>
      </c>
      <c r="M11" s="13">
        <f t="shared" si="4"/>
        <v>74.623999999999995</v>
      </c>
      <c r="N11" s="16">
        <v>0.71699999999999997</v>
      </c>
      <c r="O11" s="17">
        <f t="shared" si="5"/>
        <v>2.1423959999999997</v>
      </c>
      <c r="P11" s="18">
        <v>2.988</v>
      </c>
      <c r="Q11" s="13">
        <v>74.340999999999994</v>
      </c>
      <c r="R11" s="13">
        <f t="shared" si="7"/>
        <v>103.495</v>
      </c>
      <c r="S11" s="16">
        <v>0.67800000000000005</v>
      </c>
      <c r="T11" s="17">
        <f t="shared" si="6"/>
        <v>2.4130020000000001</v>
      </c>
      <c r="U11" s="18">
        <v>3.5590000000000002</v>
      </c>
    </row>
    <row r="12" spans="1:21" s="3" customFormat="1" ht="20.95" customHeight="1" x14ac:dyDescent="0.3">
      <c r="A12" s="11" t="s">
        <v>9</v>
      </c>
      <c r="B12" s="4">
        <f>AVERAGE(B4:B11)</f>
        <v>7.5888749999999998</v>
      </c>
      <c r="C12" s="4">
        <f>AVERAGE(C4:C11)</f>
        <v>15.867732142857127</v>
      </c>
      <c r="D12" s="4">
        <f t="shared" ref="D12:G12" si="8">AVERAGE(D4:D11)</f>
        <v>0.29567346938775463</v>
      </c>
      <c r="E12" s="4">
        <f t="shared" si="8"/>
        <v>0.48302389090973391</v>
      </c>
      <c r="F12" s="4">
        <f t="shared" si="8"/>
        <v>1.6348599111904569</v>
      </c>
      <c r="G12" s="4">
        <f t="shared" si="8"/>
        <v>15.029124999999999</v>
      </c>
      <c r="H12" s="4">
        <f>AVERAGE(H4:H11)</f>
        <v>44.092624999999998</v>
      </c>
      <c r="I12" s="4">
        <f>AVERAGE(I4:I11)</f>
        <v>0.51899107142857148</v>
      </c>
      <c r="J12" s="4">
        <f t="shared" ref="J12:K12" si="9">AVERAGE(J4:J11)</f>
        <v>1.2155444955357142</v>
      </c>
      <c r="K12" s="4">
        <f t="shared" si="9"/>
        <v>2.3445</v>
      </c>
      <c r="L12" s="4">
        <f>AVERAGE(L4:L11)</f>
        <v>43.1815</v>
      </c>
      <c r="M12" s="4">
        <f>AVERAGE(M4:M11)</f>
        <v>72.954250000000002</v>
      </c>
      <c r="N12" s="4">
        <f>AVERAGE(N4:N11)</f>
        <v>0.70887499999999992</v>
      </c>
      <c r="O12" s="4">
        <f t="shared" ref="O12:P12" si="10">AVERAGE(O4:O11)</f>
        <v>2.1871369999999999</v>
      </c>
      <c r="P12" s="4">
        <f t="shared" si="10"/>
        <v>3.0855000000000001</v>
      </c>
      <c r="Q12" s="4">
        <f>AVERAGE(Q4:Q11)</f>
        <v>72.757875000000013</v>
      </c>
      <c r="R12" s="4">
        <f>AVERAGE(R4:R11)</f>
        <v>102.11625000000001</v>
      </c>
      <c r="S12" s="4">
        <f>AVERAGE(S4:S11)</f>
        <v>0.68674999999999997</v>
      </c>
      <c r="T12" s="4">
        <f t="shared" ref="T12:U12" si="11">AVERAGE(T4:T11)</f>
        <v>2.4364888749999998</v>
      </c>
      <c r="U12" s="4">
        <f t="shared" si="11"/>
        <v>3.548</v>
      </c>
    </row>
    <row r="13" spans="1:21" ht="22.6" customHeight="1" x14ac:dyDescent="0.3">
      <c r="L13" s="37">
        <f>_xlfn.STDEV.S(L4:L11)</f>
        <v>1.5788926499290581</v>
      </c>
      <c r="M13" s="37">
        <f>_xlfn.STDEV.S(M4:M11)</f>
        <v>1.8501374273280344</v>
      </c>
      <c r="R13" s="37"/>
    </row>
    <row r="14" spans="1:21" s="2" customFormat="1" ht="17.100000000000001" customHeight="1" x14ac:dyDescent="0.3">
      <c r="A14" s="39" t="s">
        <v>5</v>
      </c>
      <c r="B14" s="43" t="s">
        <v>36</v>
      </c>
      <c r="C14" s="43"/>
      <c r="D14" s="43"/>
      <c r="E14" s="43"/>
      <c r="F14" s="43"/>
      <c r="G14" s="42" t="s">
        <v>37</v>
      </c>
      <c r="H14" s="49"/>
      <c r="I14" s="49"/>
      <c r="J14" s="49"/>
      <c r="K14" s="50"/>
      <c r="N14" s="1"/>
    </row>
    <row r="15" spans="1:21" s="2" customFormat="1" ht="16.55" customHeight="1" x14ac:dyDescent="0.3">
      <c r="A15" s="41"/>
      <c r="B15" s="9" t="s">
        <v>10</v>
      </c>
      <c r="C15" s="9" t="s">
        <v>11</v>
      </c>
      <c r="D15" s="7" t="s">
        <v>12</v>
      </c>
      <c r="E15" s="7" t="s">
        <v>13</v>
      </c>
      <c r="F15" s="7" t="s">
        <v>7</v>
      </c>
      <c r="G15" s="8" t="s">
        <v>24</v>
      </c>
      <c r="H15" s="8" t="s">
        <v>25</v>
      </c>
      <c r="I15" s="20" t="s">
        <v>12</v>
      </c>
      <c r="J15" s="20" t="s">
        <v>13</v>
      </c>
      <c r="K15" s="20" t="s">
        <v>7</v>
      </c>
    </row>
    <row r="16" spans="1:21" ht="16.55" customHeight="1" x14ac:dyDescent="0.3">
      <c r="A16" s="39" t="s">
        <v>8</v>
      </c>
      <c r="B16" s="10">
        <v>8.1875</v>
      </c>
      <c r="C16" s="10">
        <v>15.285714285714286</v>
      </c>
      <c r="D16" s="10">
        <f>(C16-B16)/15</f>
        <v>0.47321428571428575</v>
      </c>
      <c r="E16" s="10">
        <v>0.67410714285714302</v>
      </c>
      <c r="F16" s="10">
        <v>1.4245283018867929</v>
      </c>
      <c r="G16" s="10">
        <v>14.711</v>
      </c>
      <c r="H16" s="10">
        <v>42.285714285714299</v>
      </c>
      <c r="I16" s="10">
        <f>(H16-G16)/46</f>
        <v>0.59945031055900655</v>
      </c>
      <c r="J16" s="10">
        <v>1.1015333850931683</v>
      </c>
      <c r="K16" s="10">
        <v>1.844361390965227</v>
      </c>
      <c r="L16" s="5"/>
      <c r="M16" s="22"/>
      <c r="O16" s="37"/>
    </row>
    <row r="17" spans="1:13" ht="16.55" customHeight="1" x14ac:dyDescent="0.3">
      <c r="A17" s="40"/>
      <c r="B17" s="10">
        <v>7.625</v>
      </c>
      <c r="C17" s="10">
        <v>14.101785714285715</v>
      </c>
      <c r="D17" s="10">
        <f t="shared" ref="D17:D23" si="12">(C17-B17)/15</f>
        <v>0.43178571428571433</v>
      </c>
      <c r="E17" s="10">
        <v>0.63392857142857095</v>
      </c>
      <c r="F17" s="10">
        <v>1.4639175257731947</v>
      </c>
      <c r="G17" s="10">
        <v>14.102</v>
      </c>
      <c r="H17" s="10">
        <v>43.857142857142897</v>
      </c>
      <c r="I17" s="10">
        <f t="shared" ref="I17:I23" si="13">(H17-G17)/46</f>
        <v>0.64685093167701946</v>
      </c>
      <c r="J17" s="10">
        <v>1.1622787267080745</v>
      </c>
      <c r="K17" s="10">
        <v>1.7721396862977215</v>
      </c>
      <c r="L17" s="5"/>
      <c r="M17" s="22"/>
    </row>
    <row r="18" spans="1:13" ht="16.55" customHeight="1" x14ac:dyDescent="0.3">
      <c r="A18" s="40"/>
      <c r="B18" s="10">
        <v>7.875</v>
      </c>
      <c r="C18" s="10">
        <v>14.638392857142858</v>
      </c>
      <c r="D18" s="10">
        <f t="shared" si="12"/>
        <v>0.45089285714285715</v>
      </c>
      <c r="E18" s="10">
        <v>0.65401785714285698</v>
      </c>
      <c r="F18" s="10">
        <v>1.45049504950495</v>
      </c>
      <c r="G18" s="10">
        <v>14.557</v>
      </c>
      <c r="H18" s="10">
        <v>42.625</v>
      </c>
      <c r="I18" s="10">
        <f t="shared" si="13"/>
        <v>0.61017391304347823</v>
      </c>
      <c r="J18" s="10">
        <v>1.0944293478260876</v>
      </c>
      <c r="K18" s="10">
        <v>1.8348519362186799</v>
      </c>
      <c r="L18" s="5"/>
      <c r="M18" s="22"/>
    </row>
    <row r="19" spans="1:13" ht="16.55" customHeight="1" x14ac:dyDescent="0.3">
      <c r="A19" s="40"/>
      <c r="B19" s="10">
        <v>7.5625</v>
      </c>
      <c r="C19" s="10">
        <v>13.985285714285714</v>
      </c>
      <c r="D19" s="10">
        <f t="shared" si="12"/>
        <v>0.42818571428571428</v>
      </c>
      <c r="E19" s="10">
        <v>0.63973214285714297</v>
      </c>
      <c r="F19" s="10">
        <v>1.462244897959184</v>
      </c>
      <c r="G19" s="10">
        <v>13.976000000000001</v>
      </c>
      <c r="H19" s="10">
        <v>41.6875</v>
      </c>
      <c r="I19" s="10">
        <f t="shared" si="13"/>
        <v>0.60242391304347831</v>
      </c>
      <c r="J19" s="10">
        <v>1.1574999999999991</v>
      </c>
      <c r="K19" s="10">
        <v>1.9016071428571413</v>
      </c>
      <c r="L19" s="5"/>
      <c r="M19" s="22"/>
    </row>
    <row r="20" spans="1:13" ht="16.55" customHeight="1" x14ac:dyDescent="0.3">
      <c r="A20" s="40"/>
      <c r="B20" s="10">
        <v>7.1420000000000003</v>
      </c>
      <c r="C20" s="10">
        <v>14.256285714285715</v>
      </c>
      <c r="D20" s="10">
        <f t="shared" si="12"/>
        <v>0.47428571428571431</v>
      </c>
      <c r="E20" s="10">
        <f>D20*F20</f>
        <v>0.66305142857142851</v>
      </c>
      <c r="F20" s="10">
        <v>1.3979999999999999</v>
      </c>
      <c r="G20" s="10">
        <v>14.102</v>
      </c>
      <c r="H20" s="10">
        <v>44.679000000000002</v>
      </c>
      <c r="I20" s="10">
        <f t="shared" si="13"/>
        <v>0.66471739130434782</v>
      </c>
      <c r="J20" s="10">
        <f>I20*K20</f>
        <v>1.1406550434782607</v>
      </c>
      <c r="K20" s="10">
        <v>1.716</v>
      </c>
      <c r="L20" s="5"/>
      <c r="M20" s="22"/>
    </row>
    <row r="21" spans="1:13" ht="16.55" customHeight="1" x14ac:dyDescent="0.3">
      <c r="A21" s="40"/>
      <c r="B21" s="10">
        <v>6.907</v>
      </c>
      <c r="C21" s="10">
        <v>13.3827142857143</v>
      </c>
      <c r="D21" s="10">
        <f t="shared" si="12"/>
        <v>0.43171428571428666</v>
      </c>
      <c r="E21" s="10">
        <f>D21*F21</f>
        <v>0.63764200000000149</v>
      </c>
      <c r="F21" s="10">
        <v>1.4770000000000001</v>
      </c>
      <c r="G21" s="10">
        <v>13.382999999999999</v>
      </c>
      <c r="H21" s="10">
        <v>41.780999999999999</v>
      </c>
      <c r="I21" s="10">
        <f t="shared" si="13"/>
        <v>0.61734782608695649</v>
      </c>
      <c r="J21" s="10">
        <f>I21*K21</f>
        <v>1.147649608695652</v>
      </c>
      <c r="K21" s="10">
        <v>1.859</v>
      </c>
      <c r="L21" s="5"/>
      <c r="M21" s="22"/>
    </row>
    <row r="22" spans="1:13" ht="16.55" customHeight="1" x14ac:dyDescent="0.3">
      <c r="A22" s="40"/>
      <c r="B22" s="10">
        <v>8.0625</v>
      </c>
      <c r="C22" s="10">
        <v>15.350892857142901</v>
      </c>
      <c r="D22" s="10">
        <f t="shared" si="12"/>
        <v>0.48589285714286007</v>
      </c>
      <c r="E22" s="10">
        <v>0.70357142857142896</v>
      </c>
      <c r="F22" s="10">
        <v>1.4458715596330283</v>
      </c>
      <c r="G22" s="10">
        <v>14.663</v>
      </c>
      <c r="H22" s="10">
        <v>47.5</v>
      </c>
      <c r="I22" s="10">
        <f t="shared" si="13"/>
        <v>0.71384782608695663</v>
      </c>
      <c r="J22" s="10">
        <v>1.2422554347826094</v>
      </c>
      <c r="K22" s="10">
        <v>1.7515325670498094</v>
      </c>
      <c r="L22" s="5"/>
      <c r="M22" s="22"/>
    </row>
    <row r="23" spans="1:13" ht="16.55" customHeight="1" x14ac:dyDescent="0.3">
      <c r="A23" s="41"/>
      <c r="B23" s="10">
        <v>8.2725000000000009</v>
      </c>
      <c r="C23" s="10">
        <v>15.775178571428572</v>
      </c>
      <c r="D23" s="10">
        <f t="shared" si="12"/>
        <v>0.50017857142857147</v>
      </c>
      <c r="E23" s="10">
        <v>0.68928571428571395</v>
      </c>
      <c r="F23" s="10">
        <v>1.4165137614678893</v>
      </c>
      <c r="G23" s="10">
        <v>14.78</v>
      </c>
      <c r="H23" s="10">
        <v>48.875</v>
      </c>
      <c r="I23" s="10">
        <f t="shared" si="13"/>
        <v>0.74119565217391303</v>
      </c>
      <c r="J23" s="10">
        <v>1.2825369565217399</v>
      </c>
      <c r="K23" s="10">
        <v>1.8149999999999995</v>
      </c>
      <c r="L23" s="5"/>
      <c r="M23" s="22"/>
    </row>
    <row r="24" spans="1:13" s="1" customFormat="1" ht="20.55" customHeight="1" x14ac:dyDescent="0.3">
      <c r="A24" s="11" t="s">
        <v>9</v>
      </c>
      <c r="B24" s="12">
        <f>AVERAGE(B16:B23)</f>
        <v>7.7042500000000009</v>
      </c>
      <c r="C24" s="12">
        <f>AVERAGE(C16:C23)</f>
        <v>14.597031250000008</v>
      </c>
      <c r="D24" s="12">
        <f t="shared" ref="D24:G24" si="14">AVERAGE(D16:D23)</f>
        <v>0.45951875000000053</v>
      </c>
      <c r="E24" s="12">
        <f t="shared" si="14"/>
        <v>0.66191703571428584</v>
      </c>
      <c r="F24" s="12">
        <f t="shared" si="14"/>
        <v>1.44232138702813</v>
      </c>
      <c r="G24" s="12">
        <f t="shared" si="14"/>
        <v>14.28425</v>
      </c>
      <c r="H24" s="12">
        <f>AVERAGE(H16:H23)</f>
        <v>44.16129464285715</v>
      </c>
      <c r="I24" s="12">
        <f>AVERAGE(I16:I23)</f>
        <v>0.64950097049689459</v>
      </c>
      <c r="J24" s="12">
        <f t="shared" ref="J24:K24" si="15">AVERAGE(J16:J23)</f>
        <v>1.166104812888199</v>
      </c>
      <c r="K24" s="12">
        <f t="shared" si="15"/>
        <v>1.8118115904235723</v>
      </c>
    </row>
    <row r="26" spans="1:13" x14ac:dyDescent="0.3">
      <c r="A26" s="38" t="s">
        <v>4</v>
      </c>
      <c r="B26" s="38" t="s">
        <v>20</v>
      </c>
      <c r="C26" s="38"/>
      <c r="D26" s="38"/>
      <c r="E26" s="38" t="s">
        <v>21</v>
      </c>
      <c r="F26" s="38"/>
      <c r="G26" s="38"/>
      <c r="H26" s="38" t="s">
        <v>0</v>
      </c>
      <c r="I26" s="38"/>
      <c r="K26"/>
    </row>
    <row r="27" spans="1:13" x14ac:dyDescent="0.3">
      <c r="A27" s="38"/>
      <c r="B27" s="19" t="s">
        <v>17</v>
      </c>
      <c r="C27" s="19" t="s">
        <v>18</v>
      </c>
      <c r="D27" s="19" t="s">
        <v>22</v>
      </c>
      <c r="E27" s="19" t="s">
        <v>17</v>
      </c>
      <c r="F27" s="19" t="s">
        <v>18</v>
      </c>
      <c r="G27" s="19" t="s">
        <v>22</v>
      </c>
      <c r="H27" s="19" t="s">
        <v>19</v>
      </c>
      <c r="I27" s="19" t="s">
        <v>21</v>
      </c>
      <c r="K27"/>
    </row>
    <row r="28" spans="1:13" x14ac:dyDescent="0.3">
      <c r="A28" s="25" t="s">
        <v>1</v>
      </c>
      <c r="B28" s="21">
        <v>7.7</v>
      </c>
      <c r="C28" s="19">
        <v>7.59</v>
      </c>
      <c r="D28" s="19">
        <v>0.12</v>
      </c>
      <c r="E28" s="19">
        <v>14.28</v>
      </c>
      <c r="F28" s="19">
        <v>14.72</v>
      </c>
      <c r="G28" s="19">
        <v>0.13</v>
      </c>
      <c r="H28" s="19">
        <v>0.64600000000000002</v>
      </c>
      <c r="I28" s="19">
        <v>6.0999999999999999E-2</v>
      </c>
      <c r="K28"/>
    </row>
    <row r="29" spans="1:13" x14ac:dyDescent="0.3">
      <c r="A29" s="25" t="s">
        <v>2</v>
      </c>
      <c r="B29" s="19">
        <v>14.6</v>
      </c>
      <c r="C29" s="19">
        <v>15.41</v>
      </c>
      <c r="D29" s="19">
        <v>0.21</v>
      </c>
      <c r="E29" s="19">
        <v>44.16</v>
      </c>
      <c r="F29" s="19">
        <v>44.09</v>
      </c>
      <c r="G29" s="19">
        <v>0.62</v>
      </c>
      <c r="H29" s="19">
        <v>6.7000000000000004E-2</v>
      </c>
      <c r="I29" s="19">
        <v>0.95799999999999996</v>
      </c>
      <c r="K29"/>
    </row>
    <row r="30" spans="1:13" x14ac:dyDescent="0.3">
      <c r="A30" s="25" t="s">
        <v>16</v>
      </c>
      <c r="B30" s="19">
        <v>14</v>
      </c>
      <c r="C30" s="19">
        <v>26</v>
      </c>
      <c r="D30" s="19"/>
      <c r="E30" s="19">
        <v>46</v>
      </c>
      <c r="F30" s="19">
        <v>56</v>
      </c>
      <c r="G30" s="19"/>
      <c r="H30" s="19"/>
      <c r="I30" s="19"/>
      <c r="K30"/>
    </row>
    <row r="31" spans="1:13" x14ac:dyDescent="0.3">
      <c r="A31" s="25" t="s">
        <v>15</v>
      </c>
      <c r="B31" s="19">
        <v>0.46</v>
      </c>
      <c r="C31" s="19">
        <v>0.31</v>
      </c>
      <c r="D31" s="19">
        <v>0.02</v>
      </c>
      <c r="E31" s="19">
        <v>0.65</v>
      </c>
      <c r="F31" s="19">
        <v>0.52</v>
      </c>
      <c r="G31" s="19">
        <v>0.02</v>
      </c>
      <c r="H31" s="19" t="s">
        <v>26</v>
      </c>
      <c r="I31" s="19" t="s">
        <v>26</v>
      </c>
      <c r="K31"/>
    </row>
    <row r="32" spans="1:13" x14ac:dyDescent="0.3">
      <c r="A32" s="25" t="s">
        <v>14</v>
      </c>
      <c r="B32" s="21">
        <v>0.66200000000000003</v>
      </c>
      <c r="C32" s="21">
        <v>0.49</v>
      </c>
      <c r="D32" s="21">
        <v>0.02</v>
      </c>
      <c r="E32" s="21">
        <v>1.17</v>
      </c>
      <c r="F32" s="21">
        <v>1.23</v>
      </c>
      <c r="G32" s="19">
        <v>0.02</v>
      </c>
      <c r="H32" s="19" t="s">
        <v>26</v>
      </c>
      <c r="I32" s="19">
        <v>0.11899999999999999</v>
      </c>
      <c r="K32"/>
    </row>
    <row r="33" spans="1:11" x14ac:dyDescent="0.3">
      <c r="A33" s="25" t="s">
        <v>3</v>
      </c>
      <c r="B33" s="19">
        <v>1.44</v>
      </c>
      <c r="C33" s="19">
        <v>1.63</v>
      </c>
      <c r="D33" s="19">
        <v>0.03</v>
      </c>
      <c r="E33" s="19">
        <v>1.81</v>
      </c>
      <c r="F33" s="19">
        <v>2.35</v>
      </c>
      <c r="G33" s="19">
        <v>7.0000000000000007E-2</v>
      </c>
      <c r="H33" s="19" t="s">
        <v>26</v>
      </c>
      <c r="I33" s="19" t="s">
        <v>26</v>
      </c>
      <c r="K33"/>
    </row>
  </sheetData>
  <mergeCells count="18">
    <mergeCell ref="L2:P2"/>
    <mergeCell ref="Q2:U2"/>
    <mergeCell ref="B1:F1"/>
    <mergeCell ref="G1:K1"/>
    <mergeCell ref="L1:P1"/>
    <mergeCell ref="Q1:U1"/>
    <mergeCell ref="H26:I26"/>
    <mergeCell ref="A16:A23"/>
    <mergeCell ref="A2:A3"/>
    <mergeCell ref="A4:A11"/>
    <mergeCell ref="A14:A15"/>
    <mergeCell ref="B2:F2"/>
    <mergeCell ref="G2:K2"/>
    <mergeCell ref="B14:F14"/>
    <mergeCell ref="G14:K14"/>
    <mergeCell ref="A26:A27"/>
    <mergeCell ref="E26:G26"/>
    <mergeCell ref="B26:D2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4C09-C49E-424F-B67C-4C0B4BC2213A}">
  <dimension ref="A1:AC27"/>
  <sheetViews>
    <sheetView topLeftCell="M1" workbookViewId="0">
      <selection activeCell="X4" sqref="X4"/>
    </sheetView>
  </sheetViews>
  <sheetFormatPr defaultColWidth="9" defaultRowHeight="14" x14ac:dyDescent="0.3"/>
  <cols>
    <col min="1" max="5" width="9" style="27"/>
    <col min="6" max="6" width="9.08984375" style="27" customWidth="1"/>
    <col min="7" max="10" width="9" style="27"/>
    <col min="11" max="11" width="9.81640625" style="27" customWidth="1"/>
    <col min="12" max="15" width="9" style="27"/>
    <col min="16" max="16" width="8.90625" style="27" customWidth="1"/>
    <col min="17" max="20" width="9" style="27"/>
    <col min="21" max="21" width="9.08984375" style="27" customWidth="1"/>
    <col min="22" max="25" width="9" style="27"/>
    <col min="26" max="26" width="8.81640625" style="27" customWidth="1"/>
    <col min="27" max="16384" width="9" style="27"/>
  </cols>
  <sheetData>
    <row r="1" spans="1:29" ht="15.05" x14ac:dyDescent="0.3">
      <c r="A1" s="23" t="s">
        <v>38</v>
      </c>
      <c r="B1" s="65" t="s">
        <v>39</v>
      </c>
      <c r="C1" s="66"/>
      <c r="D1" s="66"/>
      <c r="E1" s="66"/>
      <c r="F1" s="67"/>
      <c r="G1" s="68" t="s">
        <v>40</v>
      </c>
      <c r="H1" s="69"/>
      <c r="I1" s="69"/>
      <c r="J1" s="69"/>
      <c r="K1" s="70"/>
      <c r="L1" s="71" t="s">
        <v>41</v>
      </c>
      <c r="M1" s="71"/>
      <c r="N1" s="71"/>
      <c r="O1" s="71"/>
      <c r="P1" s="71"/>
      <c r="Q1" s="72" t="s">
        <v>42</v>
      </c>
      <c r="R1" s="72"/>
      <c r="S1" s="72"/>
      <c r="T1" s="72"/>
      <c r="U1" s="72"/>
      <c r="V1" s="64" t="s">
        <v>43</v>
      </c>
      <c r="W1" s="64"/>
      <c r="X1" s="64"/>
      <c r="Y1" s="64"/>
      <c r="Z1" s="64"/>
      <c r="AA1" s="26"/>
    </row>
    <row r="2" spans="1:29" x14ac:dyDescent="0.3">
      <c r="A2" s="59" t="s">
        <v>44</v>
      </c>
      <c r="B2" s="59" t="s">
        <v>45</v>
      </c>
      <c r="C2" s="59"/>
      <c r="D2" s="59"/>
      <c r="E2" s="59"/>
      <c r="F2" s="59"/>
      <c r="G2" s="60" t="s">
        <v>46</v>
      </c>
      <c r="H2" s="60"/>
      <c r="I2" s="60"/>
      <c r="J2" s="60"/>
      <c r="K2" s="60"/>
      <c r="L2" s="59" t="s">
        <v>47</v>
      </c>
      <c r="M2" s="59"/>
      <c r="N2" s="59"/>
      <c r="O2" s="59"/>
      <c r="P2" s="59"/>
      <c r="Q2" s="59" t="s">
        <v>48</v>
      </c>
      <c r="R2" s="59"/>
      <c r="S2" s="59"/>
      <c r="T2" s="59"/>
      <c r="U2" s="59"/>
      <c r="V2" s="59" t="s">
        <v>49</v>
      </c>
      <c r="W2" s="59"/>
      <c r="X2" s="59"/>
      <c r="Y2" s="59"/>
      <c r="Z2" s="59"/>
    </row>
    <row r="3" spans="1:29" x14ac:dyDescent="0.3">
      <c r="A3" s="59"/>
      <c r="B3" s="28" t="s">
        <v>50</v>
      </c>
      <c r="C3" s="28" t="s">
        <v>51</v>
      </c>
      <c r="D3" s="28" t="s">
        <v>52</v>
      </c>
      <c r="E3" s="28" t="s">
        <v>53</v>
      </c>
      <c r="F3" s="28" t="s">
        <v>3</v>
      </c>
      <c r="G3" s="28" t="s">
        <v>51</v>
      </c>
      <c r="H3" s="28" t="s">
        <v>54</v>
      </c>
      <c r="I3" s="28" t="s">
        <v>52</v>
      </c>
      <c r="J3" s="28" t="s">
        <v>53</v>
      </c>
      <c r="K3" s="28" t="s">
        <v>3</v>
      </c>
      <c r="L3" s="28" t="s">
        <v>54</v>
      </c>
      <c r="M3" s="28" t="s">
        <v>55</v>
      </c>
      <c r="N3" s="28" t="s">
        <v>52</v>
      </c>
      <c r="O3" s="28" t="s">
        <v>53</v>
      </c>
      <c r="P3" s="28" t="s">
        <v>3</v>
      </c>
      <c r="Q3" s="28" t="s">
        <v>55</v>
      </c>
      <c r="R3" s="28" t="s">
        <v>56</v>
      </c>
      <c r="S3" s="28" t="s">
        <v>52</v>
      </c>
      <c r="T3" s="28" t="s">
        <v>53</v>
      </c>
      <c r="U3" s="28" t="s">
        <v>3</v>
      </c>
      <c r="V3" s="28" t="s">
        <v>56</v>
      </c>
      <c r="W3" s="28" t="s">
        <v>64</v>
      </c>
      <c r="X3" s="28" t="s">
        <v>52</v>
      </c>
      <c r="Y3" s="28" t="s">
        <v>53</v>
      </c>
      <c r="Z3" s="28" t="s">
        <v>3</v>
      </c>
      <c r="AA3" s="27" t="s">
        <v>65</v>
      </c>
      <c r="AB3" s="27" t="s">
        <v>66</v>
      </c>
    </row>
    <row r="4" spans="1:29" x14ac:dyDescent="0.3">
      <c r="A4" s="61"/>
      <c r="B4" s="29">
        <v>7.125</v>
      </c>
      <c r="C4" s="29">
        <v>13.25</v>
      </c>
      <c r="D4" s="30">
        <v>0.4375</v>
      </c>
      <c r="E4" s="30">
        <v>0.63571428571428601</v>
      </c>
      <c r="F4" s="30">
        <v>1.4530612244898</v>
      </c>
      <c r="G4" s="29">
        <v>13.25</v>
      </c>
      <c r="H4" s="29">
        <v>41</v>
      </c>
      <c r="I4" s="30">
        <v>0.60326086956521696</v>
      </c>
      <c r="J4" s="30">
        <v>1.0892934782608701</v>
      </c>
      <c r="K4" s="30">
        <v>1.80567567567568</v>
      </c>
      <c r="L4" s="29">
        <v>41</v>
      </c>
      <c r="M4" s="30">
        <v>69.6666666666667</v>
      </c>
      <c r="N4" s="30">
        <v>1.0238095238095299</v>
      </c>
      <c r="O4" s="30">
        <v>2.1339285714285698</v>
      </c>
      <c r="P4" s="31">
        <v>2.0843023255813899</v>
      </c>
      <c r="Q4" s="30">
        <v>69.6666666666667</v>
      </c>
      <c r="R4" s="30">
        <v>111.666666666667</v>
      </c>
      <c r="S4" s="30">
        <v>1.13513513513514</v>
      </c>
      <c r="T4" s="30">
        <v>3.4228571428571399</v>
      </c>
      <c r="U4" s="31">
        <v>3.0153741496598401</v>
      </c>
      <c r="V4" s="30">
        <v>111.666666666667</v>
      </c>
      <c r="W4" s="32">
        <v>136.333333333333</v>
      </c>
      <c r="X4" s="30">
        <v>0.82222222222219998</v>
      </c>
      <c r="Y4" s="30">
        <v>3.4155555555555601</v>
      </c>
      <c r="Z4" s="31">
        <v>4.1540540540541704</v>
      </c>
      <c r="AA4" s="35">
        <f>(W4-Q4)/64</f>
        <v>1.041666666666661</v>
      </c>
      <c r="AB4" s="27">
        <f>AA4*42</f>
        <v>43.749999999999758</v>
      </c>
      <c r="AC4" s="36">
        <f>W4-AB4</f>
        <v>92.583333333333243</v>
      </c>
    </row>
    <row r="5" spans="1:29" x14ac:dyDescent="0.3">
      <c r="A5" s="62"/>
      <c r="B5" s="29">
        <v>8.375</v>
      </c>
      <c r="C5" s="29">
        <v>15.1875</v>
      </c>
      <c r="D5" s="30">
        <v>0.48660714285714302</v>
      </c>
      <c r="E5" s="30">
        <v>0.71428571428571397</v>
      </c>
      <c r="F5" s="30">
        <v>1.4678899082568799</v>
      </c>
      <c r="G5" s="29">
        <v>15.1875</v>
      </c>
      <c r="H5" s="29">
        <v>45.4375</v>
      </c>
      <c r="I5" s="30">
        <v>0.65760869565217395</v>
      </c>
      <c r="J5" s="30">
        <v>1.20665760869565</v>
      </c>
      <c r="K5" s="30">
        <v>1.8349173553719</v>
      </c>
      <c r="L5" s="29">
        <v>45.4375</v>
      </c>
      <c r="M5" s="30">
        <v>73.8125</v>
      </c>
      <c r="N5" s="30">
        <v>1.0133928571428601</v>
      </c>
      <c r="O5" s="30">
        <v>2.1984374999999998</v>
      </c>
      <c r="P5" s="31">
        <v>2.1693832599118901</v>
      </c>
      <c r="Q5" s="30">
        <v>73.8125</v>
      </c>
      <c r="R5" s="30">
        <v>112.5</v>
      </c>
      <c r="S5" s="30">
        <v>1.0456081081081099</v>
      </c>
      <c r="T5" s="30">
        <v>3.4373214285714302</v>
      </c>
      <c r="U5" s="31">
        <v>3.28738979921533</v>
      </c>
      <c r="V5" s="30">
        <v>112.5</v>
      </c>
      <c r="W5" s="32">
        <v>140.25</v>
      </c>
      <c r="X5" s="30">
        <v>0.92500000000000004</v>
      </c>
      <c r="Y5" s="30">
        <v>3.3018749999999999</v>
      </c>
      <c r="Z5" s="31">
        <v>3.5695945945945899</v>
      </c>
      <c r="AA5" s="35">
        <f t="shared" ref="AA5:AA25" si="0">(W5-Q5)/64</f>
        <v>1.0380859375</v>
      </c>
      <c r="AB5" s="27">
        <f t="shared" ref="AB5:AB25" si="1">AA5*42</f>
        <v>43.599609375</v>
      </c>
      <c r="AC5" s="36">
        <f t="shared" ref="AC5:AC25" si="2">W5-AB5</f>
        <v>96.650390625</v>
      </c>
    </row>
    <row r="6" spans="1:29" x14ac:dyDescent="0.3">
      <c r="A6" s="62"/>
      <c r="B6" s="29">
        <v>7.3333333333333304</v>
      </c>
      <c r="C6" s="29">
        <v>13.9166666666667</v>
      </c>
      <c r="D6" s="30">
        <v>0.47023809523809501</v>
      </c>
      <c r="E6" s="30">
        <v>0.702380952380952</v>
      </c>
      <c r="F6" s="30">
        <v>1.49367088607595</v>
      </c>
      <c r="G6" s="29">
        <v>13.9166666666667</v>
      </c>
      <c r="H6" s="29">
        <v>45.1666666666667</v>
      </c>
      <c r="I6" s="30">
        <v>0.67934782608695599</v>
      </c>
      <c r="J6" s="30">
        <v>1.2387681159420301</v>
      </c>
      <c r="K6" s="30">
        <v>1.8234666666666699</v>
      </c>
      <c r="L6" s="29">
        <v>45.1666666666667</v>
      </c>
      <c r="M6" s="30">
        <v>72.9166666666667</v>
      </c>
      <c r="N6" s="30">
        <v>0.99107142857143005</v>
      </c>
      <c r="O6" s="30">
        <v>2.2220238095238098</v>
      </c>
      <c r="P6" s="31">
        <v>2.2420420420420402</v>
      </c>
      <c r="Q6" s="30">
        <v>72.9166666666667</v>
      </c>
      <c r="R6" s="30">
        <v>115.5</v>
      </c>
      <c r="S6" s="30">
        <v>1.1509009009008999</v>
      </c>
      <c r="T6" s="30">
        <v>3.38</v>
      </c>
      <c r="U6" s="31">
        <v>2.9368297455968699</v>
      </c>
      <c r="V6" s="30">
        <v>115.5</v>
      </c>
      <c r="W6" s="32">
        <v>145</v>
      </c>
      <c r="X6" s="30">
        <v>0.98333333333333295</v>
      </c>
      <c r="Y6" s="30">
        <v>3.7777777777777799</v>
      </c>
      <c r="Z6" s="31">
        <v>3.8418079096045199</v>
      </c>
      <c r="AA6" s="35">
        <f t="shared" si="0"/>
        <v>1.1263020833333328</v>
      </c>
      <c r="AB6" s="27">
        <f t="shared" si="1"/>
        <v>47.304687499999979</v>
      </c>
      <c r="AC6" s="36">
        <f t="shared" si="2"/>
        <v>97.695312500000028</v>
      </c>
    </row>
    <row r="7" spans="1:29" x14ac:dyDescent="0.3">
      <c r="A7" s="62"/>
      <c r="B7" s="29">
        <v>8.5625</v>
      </c>
      <c r="C7" s="29">
        <v>15.375</v>
      </c>
      <c r="D7" s="30">
        <v>0.48660714285714302</v>
      </c>
      <c r="E7" s="30">
        <v>0.68928571428571395</v>
      </c>
      <c r="F7" s="30">
        <v>1.41651376146789</v>
      </c>
      <c r="G7" s="29">
        <v>15.375</v>
      </c>
      <c r="H7" s="29">
        <v>47.875</v>
      </c>
      <c r="I7" s="30">
        <v>0.70652173913043503</v>
      </c>
      <c r="J7" s="30">
        <v>1.28233695652174</v>
      </c>
      <c r="K7" s="30">
        <v>1.8149999999999999</v>
      </c>
      <c r="L7" s="29">
        <v>47.875</v>
      </c>
      <c r="M7" s="30">
        <v>75.3125</v>
      </c>
      <c r="N7" s="30">
        <v>0.97991071428571397</v>
      </c>
      <c r="O7" s="30">
        <v>2.17589285714286</v>
      </c>
      <c r="P7" s="31">
        <v>2.2205011389521601</v>
      </c>
      <c r="Q7" s="30">
        <v>75.3125</v>
      </c>
      <c r="R7" s="30">
        <v>112</v>
      </c>
      <c r="S7" s="30">
        <v>0.99155405405405395</v>
      </c>
      <c r="T7" s="30">
        <v>3.2349999999999999</v>
      </c>
      <c r="U7" s="31">
        <v>3.2625553662691602</v>
      </c>
      <c r="V7" s="30">
        <v>112</v>
      </c>
      <c r="W7" s="32">
        <v>142.875</v>
      </c>
      <c r="X7" s="30">
        <v>1.0291666666666699</v>
      </c>
      <c r="Y7" s="30">
        <v>3.72729166666667</v>
      </c>
      <c r="Z7" s="31">
        <v>3.6216599190283398</v>
      </c>
      <c r="AA7" s="35">
        <f t="shared" si="0"/>
        <v>1.0556640625</v>
      </c>
      <c r="AB7" s="27">
        <f t="shared" si="1"/>
        <v>44.337890625</v>
      </c>
      <c r="AC7" s="36">
        <f t="shared" si="2"/>
        <v>98.537109375</v>
      </c>
    </row>
    <row r="8" spans="1:29" x14ac:dyDescent="0.3">
      <c r="A8" s="62"/>
      <c r="B8" s="29">
        <v>8.0833333333333304</v>
      </c>
      <c r="C8" s="29">
        <v>14.9166666666667</v>
      </c>
      <c r="D8" s="30">
        <v>0.48809523809523803</v>
      </c>
      <c r="E8" s="30">
        <v>0.71607142857142903</v>
      </c>
      <c r="F8" s="30">
        <v>1.46707317073171</v>
      </c>
      <c r="G8" s="29">
        <v>14.9166666666667</v>
      </c>
      <c r="H8" s="29">
        <v>47.2</v>
      </c>
      <c r="I8" s="30">
        <v>0.70181159420289796</v>
      </c>
      <c r="J8" s="30">
        <v>1.1788043478260899</v>
      </c>
      <c r="K8" s="30">
        <v>1.67965926690759</v>
      </c>
      <c r="L8" s="29">
        <v>47.2</v>
      </c>
      <c r="M8" s="30">
        <v>80.3</v>
      </c>
      <c r="N8" s="30">
        <v>1.18214285714286</v>
      </c>
      <c r="O8" s="30">
        <v>2.4357142857142802</v>
      </c>
      <c r="P8" s="31">
        <v>2.0604229607250701</v>
      </c>
      <c r="Q8" s="30">
        <v>80.3</v>
      </c>
      <c r="R8" s="30">
        <v>123</v>
      </c>
      <c r="S8" s="30">
        <v>1.15405405405405</v>
      </c>
      <c r="T8" s="30">
        <v>3.72485714285714</v>
      </c>
      <c r="U8" s="31">
        <v>3.2276279692204799</v>
      </c>
      <c r="V8" s="30">
        <v>123</v>
      </c>
      <c r="W8" s="32">
        <v>151.80000000000001</v>
      </c>
      <c r="X8" s="30">
        <v>0.96</v>
      </c>
      <c r="Y8" s="30">
        <v>3.8486666666666598</v>
      </c>
      <c r="Z8" s="31">
        <v>4.0090277777777699</v>
      </c>
      <c r="AA8" s="35">
        <f t="shared" si="0"/>
        <v>1.1171875000000002</v>
      </c>
      <c r="AB8" s="27">
        <f t="shared" si="1"/>
        <v>46.921875000000007</v>
      </c>
      <c r="AC8" s="36">
        <f t="shared" si="2"/>
        <v>104.87812500000001</v>
      </c>
    </row>
    <row r="9" spans="1:29" x14ac:dyDescent="0.3">
      <c r="A9" s="62"/>
      <c r="B9" s="29">
        <v>7.625</v>
      </c>
      <c r="C9" s="29">
        <v>13.6875</v>
      </c>
      <c r="D9" s="30">
        <v>0.43303571428571402</v>
      </c>
      <c r="E9" s="30">
        <v>0.63392857142857095</v>
      </c>
      <c r="F9" s="30">
        <v>1.46391752577319</v>
      </c>
      <c r="G9" s="29">
        <v>13.6875</v>
      </c>
      <c r="H9" s="29">
        <v>43.857142857142897</v>
      </c>
      <c r="I9" s="30">
        <v>0.65586180124223603</v>
      </c>
      <c r="J9" s="30">
        <v>1.1622787267080701</v>
      </c>
      <c r="K9" s="30">
        <v>1.7721396862977199</v>
      </c>
      <c r="L9" s="29">
        <v>43.857142857142897</v>
      </c>
      <c r="M9" s="30">
        <v>69.071428571428598</v>
      </c>
      <c r="N9" s="30">
        <v>0.90051020408163396</v>
      </c>
      <c r="O9" s="30">
        <v>1.97729591836735</v>
      </c>
      <c r="P9" s="31">
        <v>2.1957507082153001</v>
      </c>
      <c r="Q9" s="30">
        <v>69.071428571428598</v>
      </c>
      <c r="R9" s="30">
        <v>107.142857142857</v>
      </c>
      <c r="S9" s="30">
        <v>1.0289575289575199</v>
      </c>
      <c r="T9" s="30">
        <v>2.9220408163265299</v>
      </c>
      <c r="U9" s="31">
        <v>2.8398070222460601</v>
      </c>
      <c r="V9" s="30">
        <v>107.142857142857</v>
      </c>
      <c r="W9" s="32">
        <v>136.42857142857099</v>
      </c>
      <c r="X9" s="30">
        <v>0.97619047619046595</v>
      </c>
      <c r="Y9" s="30">
        <v>3.4935714285714301</v>
      </c>
      <c r="Z9" s="31">
        <v>3.5787804878049099</v>
      </c>
      <c r="AA9" s="35">
        <f t="shared" si="0"/>
        <v>1.0524553571428499</v>
      </c>
      <c r="AB9" s="27">
        <f t="shared" si="1"/>
        <v>44.203124999999694</v>
      </c>
      <c r="AC9" s="36">
        <f t="shared" si="2"/>
        <v>92.225446428571303</v>
      </c>
    </row>
    <row r="10" spans="1:29" x14ac:dyDescent="0.3">
      <c r="A10" s="62"/>
      <c r="B10" s="29">
        <v>8.1875</v>
      </c>
      <c r="C10" s="29">
        <v>14.5625</v>
      </c>
      <c r="D10" s="30">
        <v>0.45535714285714302</v>
      </c>
      <c r="E10" s="30">
        <v>0.71428571428571397</v>
      </c>
      <c r="F10" s="30">
        <v>1.5686274509803899</v>
      </c>
      <c r="G10" s="29">
        <v>14.5625</v>
      </c>
      <c r="H10" s="29">
        <v>47.125</v>
      </c>
      <c r="I10" s="30">
        <v>0.70788043478260898</v>
      </c>
      <c r="J10" s="30">
        <v>1.3224184782608699</v>
      </c>
      <c r="K10" s="30">
        <v>1.86813819577735</v>
      </c>
      <c r="L10" s="29">
        <v>47.125</v>
      </c>
      <c r="M10" s="30">
        <v>74.1875</v>
      </c>
      <c r="N10" s="30">
        <v>0.96651785714285698</v>
      </c>
      <c r="O10" s="30">
        <v>2.19933035714286</v>
      </c>
      <c r="P10" s="31">
        <v>2.2755196304849901</v>
      </c>
      <c r="Q10" s="30">
        <v>74.1875</v>
      </c>
      <c r="R10" s="30">
        <v>107.75</v>
      </c>
      <c r="S10" s="30">
        <v>0.90709459459459496</v>
      </c>
      <c r="T10" s="30">
        <v>3.0191071428571399</v>
      </c>
      <c r="U10" s="31">
        <v>3.3283266826283602</v>
      </c>
      <c r="V10" s="30">
        <v>107.75</v>
      </c>
      <c r="W10" s="32">
        <v>143.5</v>
      </c>
      <c r="X10" s="30">
        <v>1.19166666666667</v>
      </c>
      <c r="Y10" s="30">
        <v>3.8810416666666701</v>
      </c>
      <c r="Z10" s="31">
        <v>3.2568181818181801</v>
      </c>
      <c r="AA10" s="35">
        <f t="shared" si="0"/>
        <v>1.0830078125</v>
      </c>
      <c r="AB10" s="27">
        <f t="shared" si="1"/>
        <v>45.486328125</v>
      </c>
      <c r="AC10" s="36">
        <f t="shared" si="2"/>
        <v>98.013671875</v>
      </c>
    </row>
    <row r="11" spans="1:29" x14ac:dyDescent="0.3">
      <c r="A11" s="62"/>
      <c r="B11" s="29">
        <v>8.1875</v>
      </c>
      <c r="C11" s="29">
        <v>14.8125</v>
      </c>
      <c r="D11" s="30">
        <v>0.47321428571428598</v>
      </c>
      <c r="E11" s="30">
        <v>0.67410714285714302</v>
      </c>
      <c r="F11" s="30">
        <v>1.42452830188679</v>
      </c>
      <c r="G11" s="29">
        <v>14.8125</v>
      </c>
      <c r="H11" s="29">
        <v>42.285714285714299</v>
      </c>
      <c r="I11" s="30">
        <v>0.59724378881987605</v>
      </c>
      <c r="J11" s="30">
        <v>1.1015333850931699</v>
      </c>
      <c r="K11" s="30">
        <v>1.8443613909652301</v>
      </c>
      <c r="L11" s="29">
        <v>42.285714285714299</v>
      </c>
      <c r="M11" s="30">
        <v>74.6666666666667</v>
      </c>
      <c r="N11" s="30">
        <v>1.15646258503401</v>
      </c>
      <c r="O11" s="30">
        <v>2.5130952380952398</v>
      </c>
      <c r="P11" s="31">
        <v>2.1730882352941201</v>
      </c>
      <c r="Q11" s="30">
        <v>74.6666666666667</v>
      </c>
      <c r="R11" s="30">
        <v>120.833333333333</v>
      </c>
      <c r="S11" s="30">
        <v>1.2477477477477401</v>
      </c>
      <c r="T11" s="30">
        <v>3.7197619047619002</v>
      </c>
      <c r="U11" s="31">
        <v>2.9811810211449399</v>
      </c>
      <c r="V11" s="30">
        <v>120.833333333333</v>
      </c>
      <c r="W11" s="32">
        <v>148.666666666667</v>
      </c>
      <c r="X11" s="30">
        <v>0.92777777777780002</v>
      </c>
      <c r="Y11" s="30">
        <v>3.8197222222222198</v>
      </c>
      <c r="Z11" s="31">
        <v>4.1170658682633796</v>
      </c>
      <c r="AA11" s="35">
        <f t="shared" si="0"/>
        <v>1.1562500000000047</v>
      </c>
      <c r="AB11" s="27">
        <f t="shared" si="1"/>
        <v>48.562500000000199</v>
      </c>
      <c r="AC11" s="36">
        <f t="shared" si="2"/>
        <v>100.1041666666668</v>
      </c>
    </row>
    <row r="12" spans="1:29" x14ac:dyDescent="0.3">
      <c r="A12" s="62"/>
      <c r="B12" s="29">
        <v>8.1875</v>
      </c>
      <c r="C12" s="29">
        <v>14.75</v>
      </c>
      <c r="D12" s="30">
        <v>0.46875</v>
      </c>
      <c r="E12" s="30">
        <v>0.68616071428571401</v>
      </c>
      <c r="F12" s="30">
        <v>1.4638095238095199</v>
      </c>
      <c r="G12" s="29">
        <v>14.75</v>
      </c>
      <c r="H12" s="29">
        <v>42.9375</v>
      </c>
      <c r="I12" s="30">
        <v>0.61277173913043503</v>
      </c>
      <c r="J12" s="30">
        <v>1.24470108695652</v>
      </c>
      <c r="K12" s="30">
        <v>2.0312638580931299</v>
      </c>
      <c r="L12" s="29">
        <v>42.9375</v>
      </c>
      <c r="M12" s="30">
        <v>69.714285714285694</v>
      </c>
      <c r="N12" s="30">
        <v>0.95631377551020302</v>
      </c>
      <c r="O12" s="30">
        <v>2.1135204081632701</v>
      </c>
      <c r="P12" s="31">
        <v>2.2100700233411201</v>
      </c>
      <c r="Q12" s="30">
        <v>69.714285714285694</v>
      </c>
      <c r="R12" s="30">
        <v>107.28571428571399</v>
      </c>
      <c r="S12" s="30">
        <v>1.0154440154440101</v>
      </c>
      <c r="T12" s="30">
        <v>3.23905612244898</v>
      </c>
      <c r="U12" s="31">
        <v>3.1897929114611898</v>
      </c>
      <c r="V12" s="30">
        <v>107.28571428571399</v>
      </c>
      <c r="W12" s="32">
        <v>138.57142857142901</v>
      </c>
      <c r="X12" s="30">
        <v>1.04285714285717</v>
      </c>
      <c r="Y12" s="30">
        <v>3.5366666666666702</v>
      </c>
      <c r="Z12" s="31">
        <v>3.3913242009131599</v>
      </c>
      <c r="AA12" s="35">
        <f t="shared" si="0"/>
        <v>1.0758928571428643</v>
      </c>
      <c r="AB12" s="27">
        <f t="shared" si="1"/>
        <v>45.187500000000298</v>
      </c>
      <c r="AC12" s="36">
        <f t="shared" si="2"/>
        <v>93.383928571428712</v>
      </c>
    </row>
    <row r="13" spans="1:29" x14ac:dyDescent="0.3">
      <c r="A13" s="62"/>
      <c r="B13" s="29">
        <v>7.875</v>
      </c>
      <c r="C13" s="29">
        <v>14.1875</v>
      </c>
      <c r="D13" s="30">
        <v>0.45089285714285698</v>
      </c>
      <c r="E13" s="30">
        <v>0.65401785714285698</v>
      </c>
      <c r="F13" s="30">
        <v>1.45049504950495</v>
      </c>
      <c r="G13" s="29">
        <v>14.1875</v>
      </c>
      <c r="H13" s="29">
        <v>41.625</v>
      </c>
      <c r="I13" s="30">
        <v>0.596467391304348</v>
      </c>
      <c r="J13" s="30">
        <v>1.09442934782609</v>
      </c>
      <c r="K13" s="30">
        <v>1.8348519362186799</v>
      </c>
      <c r="L13" s="29">
        <v>41.625</v>
      </c>
      <c r="M13" s="30">
        <v>70.5625</v>
      </c>
      <c r="N13" s="30">
        <v>1.0334821428571399</v>
      </c>
      <c r="O13" s="30">
        <v>2.07678571428572</v>
      </c>
      <c r="P13" s="31">
        <v>2.0095032397408201</v>
      </c>
      <c r="Q13" s="30">
        <v>70.5625</v>
      </c>
      <c r="R13" s="30">
        <v>109.75</v>
      </c>
      <c r="S13" s="30">
        <v>1.0591216216216199</v>
      </c>
      <c r="T13" s="30">
        <v>3.3671428571428601</v>
      </c>
      <c r="U13" s="31">
        <v>3.1791843244474798</v>
      </c>
      <c r="V13" s="30">
        <v>109.75</v>
      </c>
      <c r="W13" s="32">
        <v>143.142857142857</v>
      </c>
      <c r="X13" s="30">
        <v>1.1130952380952299</v>
      </c>
      <c r="Y13" s="30">
        <v>3.8546607142857101</v>
      </c>
      <c r="Z13" s="31">
        <v>3.46301069518718</v>
      </c>
      <c r="AA13" s="35">
        <f t="shared" si="0"/>
        <v>1.1340680803571406</v>
      </c>
      <c r="AB13" s="27">
        <f t="shared" si="1"/>
        <v>47.630859374999901</v>
      </c>
      <c r="AC13" s="36">
        <f t="shared" si="2"/>
        <v>95.511997767857096</v>
      </c>
    </row>
    <row r="14" spans="1:29" x14ac:dyDescent="0.3">
      <c r="A14" s="62"/>
      <c r="B14" s="29">
        <v>8.0625</v>
      </c>
      <c r="C14" s="29">
        <v>14.875</v>
      </c>
      <c r="D14" s="30">
        <v>0.48660714285714302</v>
      </c>
      <c r="E14" s="30">
        <v>0.70357142857142896</v>
      </c>
      <c r="F14" s="30">
        <v>1.44587155963303</v>
      </c>
      <c r="G14" s="29">
        <v>14.875</v>
      </c>
      <c r="H14" s="29">
        <v>47.5</v>
      </c>
      <c r="I14" s="30">
        <v>0.70923913043478304</v>
      </c>
      <c r="J14" s="30">
        <v>1.24225543478261</v>
      </c>
      <c r="K14" s="30">
        <v>1.7515325670498101</v>
      </c>
      <c r="L14" s="29">
        <v>47.5</v>
      </c>
      <c r="M14" s="30">
        <v>71.625</v>
      </c>
      <c r="N14" s="30">
        <v>0.86160714285714302</v>
      </c>
      <c r="O14" s="30">
        <v>1.98169642857143</v>
      </c>
      <c r="P14" s="31">
        <v>2.2999999999999998</v>
      </c>
      <c r="Q14" s="30">
        <v>71.625</v>
      </c>
      <c r="R14" s="30">
        <v>103</v>
      </c>
      <c r="S14" s="30">
        <v>0.84797297297297303</v>
      </c>
      <c r="T14" s="30">
        <v>2.7010714285714301</v>
      </c>
      <c r="U14" s="31">
        <v>3.1853272623790501</v>
      </c>
      <c r="V14" s="30">
        <v>103</v>
      </c>
      <c r="W14" s="32">
        <v>131.25</v>
      </c>
      <c r="X14" s="30">
        <v>0.94166666666666698</v>
      </c>
      <c r="Y14" s="30">
        <v>3.2285416666666702</v>
      </c>
      <c r="Z14" s="31">
        <v>3.4285398230088502</v>
      </c>
      <c r="AA14" s="35">
        <f t="shared" si="0"/>
        <v>0.931640625</v>
      </c>
      <c r="AB14" s="27">
        <f t="shared" si="1"/>
        <v>39.12890625</v>
      </c>
      <c r="AC14" s="36">
        <f t="shared" si="2"/>
        <v>92.12109375</v>
      </c>
    </row>
    <row r="15" spans="1:29" x14ac:dyDescent="0.3">
      <c r="A15" s="62"/>
      <c r="B15" s="29">
        <v>8.125</v>
      </c>
      <c r="C15" s="29">
        <v>14.875</v>
      </c>
      <c r="D15" s="30">
        <v>0.48214285714285698</v>
      </c>
      <c r="E15" s="30">
        <v>0.67812499999999998</v>
      </c>
      <c r="F15" s="30">
        <v>1.4064814814814799</v>
      </c>
      <c r="G15" s="29">
        <v>14.875</v>
      </c>
      <c r="H15" s="29">
        <v>44.571428571428598</v>
      </c>
      <c r="I15" s="30">
        <v>0.64557453416149102</v>
      </c>
      <c r="J15" s="30">
        <v>1.1203687888198799</v>
      </c>
      <c r="K15" s="30">
        <v>1.7354600120264601</v>
      </c>
      <c r="L15" s="29">
        <v>44.571428571428598</v>
      </c>
      <c r="M15" s="30">
        <v>73.642857142857096</v>
      </c>
      <c r="N15" s="30">
        <v>1.03826530612245</v>
      </c>
      <c r="O15" s="30">
        <v>2.2811224489795898</v>
      </c>
      <c r="P15" s="31">
        <v>2.1970515970515998</v>
      </c>
      <c r="Q15" s="30">
        <v>73.642857142857096</v>
      </c>
      <c r="R15" s="30">
        <v>102.142857142857</v>
      </c>
      <c r="S15" s="30">
        <v>0.77027027027026795</v>
      </c>
      <c r="T15" s="30">
        <v>2.8308163265306101</v>
      </c>
      <c r="U15" s="31">
        <v>3.6750948800573</v>
      </c>
      <c r="V15" s="30">
        <v>102.142857142857</v>
      </c>
      <c r="W15" s="32">
        <v>133.6</v>
      </c>
      <c r="X15" s="30">
        <v>1.04857142857143</v>
      </c>
      <c r="Y15" s="30">
        <v>3.4550714285714301</v>
      </c>
      <c r="Z15" s="31">
        <v>3.2950272479563898</v>
      </c>
      <c r="AA15" s="35">
        <f t="shared" si="0"/>
        <v>0.93683035714285778</v>
      </c>
      <c r="AB15" s="27">
        <f t="shared" si="1"/>
        <v>39.346875000000026</v>
      </c>
      <c r="AC15" s="36">
        <f t="shared" si="2"/>
        <v>94.253124999999969</v>
      </c>
    </row>
    <row r="16" spans="1:29" x14ac:dyDescent="0.3">
      <c r="A16" s="62"/>
      <c r="B16" s="29">
        <v>7.875</v>
      </c>
      <c r="C16" s="29">
        <v>14.375</v>
      </c>
      <c r="D16" s="30">
        <v>0.46428571428571402</v>
      </c>
      <c r="E16" s="30">
        <v>0.66428571428571404</v>
      </c>
      <c r="F16" s="30">
        <v>1.4307692307692299</v>
      </c>
      <c r="G16" s="29">
        <v>14.375</v>
      </c>
      <c r="H16" s="29">
        <v>43.5</v>
      </c>
      <c r="I16" s="30">
        <v>0.63315217391304301</v>
      </c>
      <c r="J16" s="30">
        <v>1.23967391304348</v>
      </c>
      <c r="K16" s="30">
        <v>1.95793991416309</v>
      </c>
      <c r="L16" s="29">
        <v>43.5</v>
      </c>
      <c r="M16" s="30">
        <v>68.1875</v>
      </c>
      <c r="N16" s="30">
        <v>0.88169642857142905</v>
      </c>
      <c r="O16" s="30">
        <v>2.0796874999999999</v>
      </c>
      <c r="P16" s="31">
        <v>2.3587341772151902</v>
      </c>
      <c r="Q16" s="30">
        <v>68.1875</v>
      </c>
      <c r="R16" s="30">
        <v>104.666666666667</v>
      </c>
      <c r="S16" s="30">
        <v>0.98592342342343198</v>
      </c>
      <c r="T16" s="30">
        <v>3.0081428571428601</v>
      </c>
      <c r="U16" s="31">
        <v>3.0510917842865002</v>
      </c>
      <c r="V16" s="30">
        <v>104.666666666667</v>
      </c>
      <c r="W16" s="32">
        <v>135</v>
      </c>
      <c r="X16" s="30">
        <v>1.0111111111111</v>
      </c>
      <c r="Y16" s="30">
        <v>3.6360000000000001</v>
      </c>
      <c r="Z16" s="31">
        <v>3.5960439560439998</v>
      </c>
      <c r="AA16" s="35">
        <f t="shared" si="0"/>
        <v>1.0439453125</v>
      </c>
      <c r="AB16" s="27">
        <f t="shared" si="1"/>
        <v>43.845703125</v>
      </c>
      <c r="AC16" s="36">
        <f t="shared" si="2"/>
        <v>91.154296875</v>
      </c>
    </row>
    <row r="17" spans="1:29" x14ac:dyDescent="0.3">
      <c r="A17" s="62"/>
      <c r="B17" s="29">
        <v>9.125</v>
      </c>
      <c r="C17" s="29">
        <v>16.4375</v>
      </c>
      <c r="D17" s="30">
        <v>0.52232142857142905</v>
      </c>
      <c r="E17" s="30">
        <v>0.75848214285714299</v>
      </c>
      <c r="F17" s="30">
        <v>1.4521367521367501</v>
      </c>
      <c r="G17" s="29">
        <v>16.4375</v>
      </c>
      <c r="H17" s="29">
        <v>47.4375</v>
      </c>
      <c r="I17" s="30">
        <v>0.67391304347826098</v>
      </c>
      <c r="J17" s="30">
        <v>1.2455163043478299</v>
      </c>
      <c r="K17" s="30">
        <v>1.8481854838709699</v>
      </c>
      <c r="L17" s="29">
        <v>47.4375</v>
      </c>
      <c r="M17" s="30">
        <v>74.8125</v>
      </c>
      <c r="N17" s="30">
        <v>0.97767857142857095</v>
      </c>
      <c r="O17" s="30">
        <v>2.1941964285714302</v>
      </c>
      <c r="P17" s="31">
        <v>2.2442922374429202</v>
      </c>
      <c r="Q17" s="30">
        <v>74.8125</v>
      </c>
      <c r="R17" s="30">
        <v>109.25</v>
      </c>
      <c r="S17" s="30">
        <v>0.93074324324324298</v>
      </c>
      <c r="T17" s="30">
        <v>3.0474999999999999</v>
      </c>
      <c r="U17" s="31">
        <v>3.2742649727767699</v>
      </c>
      <c r="V17" s="30">
        <v>109.25</v>
      </c>
      <c r="W17" s="32">
        <v>140.5</v>
      </c>
      <c r="X17" s="30">
        <v>1.0416666666666701</v>
      </c>
      <c r="Y17" s="30">
        <v>3.4029166666666701</v>
      </c>
      <c r="Z17" s="31">
        <v>3.2667999999999999</v>
      </c>
      <c r="AA17" s="35">
        <f t="shared" si="0"/>
        <v>1.0263671875</v>
      </c>
      <c r="AB17" s="27">
        <f t="shared" si="1"/>
        <v>43.107421875</v>
      </c>
      <c r="AC17" s="36">
        <f t="shared" si="2"/>
        <v>97.392578125</v>
      </c>
    </row>
    <row r="18" spans="1:29" x14ac:dyDescent="0.3">
      <c r="A18" s="62"/>
      <c r="B18" s="29">
        <v>7.4375</v>
      </c>
      <c r="C18" s="29">
        <v>14.5625</v>
      </c>
      <c r="D18" s="30">
        <v>0.50892857142857095</v>
      </c>
      <c r="E18" s="30">
        <v>0.72187500000000004</v>
      </c>
      <c r="F18" s="30">
        <v>1.4184210526315799</v>
      </c>
      <c r="G18" s="29">
        <v>14.5625</v>
      </c>
      <c r="H18" s="29">
        <v>40.9375</v>
      </c>
      <c r="I18" s="30">
        <v>0.57336956521739102</v>
      </c>
      <c r="J18" s="30">
        <v>1.0922554347826099</v>
      </c>
      <c r="K18" s="30">
        <v>1.90497630331754</v>
      </c>
      <c r="L18" s="29">
        <v>40.9375</v>
      </c>
      <c r="M18" s="30">
        <v>65.8125</v>
      </c>
      <c r="N18" s="30">
        <v>0.88839285714285698</v>
      </c>
      <c r="O18" s="30">
        <v>1.98058035714286</v>
      </c>
      <c r="P18" s="31">
        <v>2.22939698492462</v>
      </c>
      <c r="Q18" s="30">
        <v>65.8125</v>
      </c>
      <c r="R18" s="30">
        <v>99.714285714285694</v>
      </c>
      <c r="S18" s="30">
        <v>0.91626447876447803</v>
      </c>
      <c r="T18" s="30">
        <v>2.6215051020408202</v>
      </c>
      <c r="U18" s="31">
        <v>2.8610790473682202</v>
      </c>
      <c r="V18" s="30">
        <v>99.714285714285694</v>
      </c>
      <c r="W18" s="32">
        <v>127.333333333333</v>
      </c>
      <c r="X18" s="30">
        <v>0.92063492063491004</v>
      </c>
      <c r="Y18" s="30">
        <v>3.3627777777777799</v>
      </c>
      <c r="Z18" s="31">
        <v>3.6526724137931401</v>
      </c>
      <c r="AA18" s="35">
        <f t="shared" si="0"/>
        <v>0.96126302083332815</v>
      </c>
      <c r="AB18" s="27">
        <f t="shared" si="1"/>
        <v>40.37304687499978</v>
      </c>
      <c r="AC18" s="36">
        <f t="shared" si="2"/>
        <v>86.960286458333229</v>
      </c>
    </row>
    <row r="19" spans="1:29" x14ac:dyDescent="0.3">
      <c r="A19" s="62"/>
      <c r="B19" s="29">
        <v>8.75</v>
      </c>
      <c r="C19" s="29">
        <v>15.75</v>
      </c>
      <c r="D19" s="30">
        <v>0.5</v>
      </c>
      <c r="E19" s="30">
        <v>0.74732142857142903</v>
      </c>
      <c r="F19" s="30">
        <v>1.49464285714286</v>
      </c>
      <c r="G19" s="29">
        <v>15.75</v>
      </c>
      <c r="H19" s="29">
        <v>42.857142857142897</v>
      </c>
      <c r="I19" s="30">
        <v>0.58928571428571397</v>
      </c>
      <c r="J19" s="30">
        <v>1.1761257763975199</v>
      </c>
      <c r="K19" s="30">
        <v>1.9958498023715401</v>
      </c>
      <c r="L19" s="29">
        <v>42.857142857142897</v>
      </c>
      <c r="M19" s="30">
        <v>71.357142857142904</v>
      </c>
      <c r="N19" s="30">
        <v>1.0178571428571399</v>
      </c>
      <c r="O19" s="30">
        <v>2.2369897959183702</v>
      </c>
      <c r="P19" s="31">
        <v>2.19774436090225</v>
      </c>
      <c r="Q19" s="30">
        <v>71.357142857142904</v>
      </c>
      <c r="R19" s="30">
        <v>105.428571428571</v>
      </c>
      <c r="S19" s="30">
        <v>0.92084942084940802</v>
      </c>
      <c r="T19" s="30">
        <v>2.9944897959183701</v>
      </c>
      <c r="U19" s="31">
        <v>3.2518778077269102</v>
      </c>
      <c r="V19" s="30">
        <v>105.428571428571</v>
      </c>
      <c r="W19" s="32">
        <v>130</v>
      </c>
      <c r="X19" s="30">
        <v>0.81904761904763301</v>
      </c>
      <c r="Y19" s="30">
        <v>3.0617619047618998</v>
      </c>
      <c r="Z19" s="31">
        <v>3.7381976744185401</v>
      </c>
      <c r="AA19" s="35">
        <f t="shared" si="0"/>
        <v>0.91629464285714213</v>
      </c>
      <c r="AB19" s="27">
        <f t="shared" si="1"/>
        <v>38.484374999999972</v>
      </c>
      <c r="AC19" s="36">
        <f t="shared" si="2"/>
        <v>91.515625000000028</v>
      </c>
    </row>
    <row r="20" spans="1:29" x14ac:dyDescent="0.3">
      <c r="A20" s="62"/>
      <c r="B20" s="29">
        <v>7.5625</v>
      </c>
      <c r="C20" s="29">
        <v>13.6875</v>
      </c>
      <c r="D20" s="30">
        <v>0.4375</v>
      </c>
      <c r="E20" s="30">
        <v>0.63973214285714297</v>
      </c>
      <c r="F20" s="30">
        <v>1.46224489795918</v>
      </c>
      <c r="G20" s="29">
        <v>13.6875</v>
      </c>
      <c r="H20" s="29">
        <v>41.6875</v>
      </c>
      <c r="I20" s="30">
        <v>0.60869565217391297</v>
      </c>
      <c r="J20" s="30">
        <v>1.1575</v>
      </c>
      <c r="K20" s="30">
        <v>1.9016071428571399</v>
      </c>
      <c r="L20" s="29">
        <v>41.6875</v>
      </c>
      <c r="M20" s="30">
        <v>66.3125</v>
      </c>
      <c r="N20" s="30">
        <v>0.87946428571428603</v>
      </c>
      <c r="O20" s="30">
        <v>1.9859374999999999</v>
      </c>
      <c r="P20" s="31">
        <v>2.2581218274111601</v>
      </c>
      <c r="Q20" s="30">
        <v>66.3125</v>
      </c>
      <c r="R20" s="30">
        <v>98</v>
      </c>
      <c r="S20" s="30">
        <v>0.85641891891891897</v>
      </c>
      <c r="T20" s="30">
        <v>2.8019642857142801</v>
      </c>
      <c r="U20" s="31">
        <v>3.2717216117216101</v>
      </c>
      <c r="V20" s="30">
        <v>98</v>
      </c>
      <c r="W20" s="32">
        <v>126.25</v>
      </c>
      <c r="X20" s="30">
        <v>0.94166666666666698</v>
      </c>
      <c r="Y20" s="30">
        <v>3.0968749999999998</v>
      </c>
      <c r="Z20" s="31">
        <v>3.2887168141592902</v>
      </c>
      <c r="AA20" s="35">
        <f t="shared" si="0"/>
        <v>0.9365234375</v>
      </c>
      <c r="AB20" s="27">
        <f t="shared" si="1"/>
        <v>39.333984375</v>
      </c>
      <c r="AC20" s="36">
        <f t="shared" si="2"/>
        <v>86.916015625</v>
      </c>
    </row>
    <row r="21" spans="1:29" x14ac:dyDescent="0.3">
      <c r="A21" s="62"/>
      <c r="B21" s="29">
        <v>8.3125</v>
      </c>
      <c r="C21" s="29">
        <v>14.875</v>
      </c>
      <c r="D21" s="30">
        <v>0.46875</v>
      </c>
      <c r="E21" s="30">
        <v>0.66383928571428596</v>
      </c>
      <c r="F21" s="30">
        <v>1.41619047619048</v>
      </c>
      <c r="G21" s="29">
        <v>14.875</v>
      </c>
      <c r="H21" s="29">
        <v>45</v>
      </c>
      <c r="I21" s="30">
        <v>0.65489130434782605</v>
      </c>
      <c r="J21" s="30">
        <v>1.07834497929606</v>
      </c>
      <c r="K21" s="30">
        <v>1.6466014621616301</v>
      </c>
      <c r="L21" s="29">
        <v>45</v>
      </c>
      <c r="M21" s="30">
        <v>72.4166666666667</v>
      </c>
      <c r="N21" s="30">
        <v>0.97916666666666796</v>
      </c>
      <c r="O21" s="30">
        <v>2.31220238095238</v>
      </c>
      <c r="P21" s="31">
        <v>2.3613981762917899</v>
      </c>
      <c r="Q21" s="30">
        <v>72.4166666666667</v>
      </c>
      <c r="R21" s="30">
        <v>109</v>
      </c>
      <c r="S21" s="30">
        <v>0.98873873873873797</v>
      </c>
      <c r="T21" s="30">
        <v>3.1638095238095199</v>
      </c>
      <c r="U21" s="31">
        <v>3.1998438008460801</v>
      </c>
      <c r="V21" s="30">
        <v>109</v>
      </c>
      <c r="W21" s="32">
        <v>132.666666666667</v>
      </c>
      <c r="X21" s="30">
        <v>0.78888888888889996</v>
      </c>
      <c r="Y21" s="30">
        <v>3.04</v>
      </c>
      <c r="Z21" s="31">
        <v>3.8535211267605098</v>
      </c>
      <c r="AA21" s="35">
        <f t="shared" si="0"/>
        <v>0.94140625000000466</v>
      </c>
      <c r="AB21" s="27">
        <f t="shared" si="1"/>
        <v>39.539062500000199</v>
      </c>
      <c r="AC21" s="36">
        <f t="shared" si="2"/>
        <v>93.127604166666799</v>
      </c>
    </row>
    <row r="22" spans="1:29" x14ac:dyDescent="0.3">
      <c r="A22" s="62"/>
      <c r="B22" s="29">
        <v>7.6875</v>
      </c>
      <c r="C22" s="29">
        <v>14.5</v>
      </c>
      <c r="D22" s="30">
        <v>0.48660714285714302</v>
      </c>
      <c r="E22" s="30">
        <v>0.65758928571428599</v>
      </c>
      <c r="F22" s="30">
        <v>1.35137614678899</v>
      </c>
      <c r="G22" s="29">
        <v>14.5</v>
      </c>
      <c r="H22" s="29">
        <v>44.214285714285701</v>
      </c>
      <c r="I22" s="30">
        <v>0.64596273291925499</v>
      </c>
      <c r="J22" s="30">
        <v>1.2074145962732901</v>
      </c>
      <c r="K22" s="30">
        <v>1.86917067307693</v>
      </c>
      <c r="L22" s="29">
        <v>44.214285714285701</v>
      </c>
      <c r="M22" s="30">
        <v>70.071428571428598</v>
      </c>
      <c r="N22" s="30">
        <v>0.92346938775510301</v>
      </c>
      <c r="O22" s="30">
        <v>2.18418367346939</v>
      </c>
      <c r="P22" s="30">
        <v>2.3651933701657399</v>
      </c>
      <c r="Q22" s="30">
        <v>70.071428571428598</v>
      </c>
      <c r="R22" s="30">
        <v>105.71428571428601</v>
      </c>
      <c r="S22" s="30">
        <v>0.96332046332047006</v>
      </c>
      <c r="T22" s="30">
        <v>3.09</v>
      </c>
      <c r="U22" s="30">
        <v>3.2076553106212198</v>
      </c>
      <c r="V22" s="30">
        <v>105.71428571428601</v>
      </c>
      <c r="W22" s="32">
        <v>128.5</v>
      </c>
      <c r="X22" s="30">
        <v>0.75952380952380005</v>
      </c>
      <c r="Y22" s="30">
        <v>2.9740873015872999</v>
      </c>
      <c r="Z22" s="30">
        <v>3.9157262277952398</v>
      </c>
      <c r="AA22" s="35">
        <f t="shared" si="0"/>
        <v>0.91294642857142816</v>
      </c>
      <c r="AB22" s="27">
        <f t="shared" si="1"/>
        <v>38.343749999999986</v>
      </c>
      <c r="AC22" s="36">
        <f t="shared" si="2"/>
        <v>90.156250000000014</v>
      </c>
    </row>
    <row r="23" spans="1:29" x14ac:dyDescent="0.3">
      <c r="A23" s="62"/>
      <c r="B23" s="29">
        <v>7.6428571428571397</v>
      </c>
      <c r="C23" s="29">
        <v>14.214285714285699</v>
      </c>
      <c r="D23" s="30">
        <v>0.469387755102041</v>
      </c>
      <c r="E23" s="30">
        <v>0.6</v>
      </c>
      <c r="F23" s="30">
        <v>1.27826086956522</v>
      </c>
      <c r="G23" s="29">
        <v>14.214285714285699</v>
      </c>
      <c r="H23" s="29">
        <v>40.6666666666667</v>
      </c>
      <c r="I23" s="30">
        <v>0.57505175983436896</v>
      </c>
      <c r="J23" s="30">
        <v>0.95186335403726896</v>
      </c>
      <c r="K23" s="30">
        <v>1.6552655265526599</v>
      </c>
      <c r="L23" s="29">
        <v>40.6666666666667</v>
      </c>
      <c r="M23" s="30">
        <v>66.25</v>
      </c>
      <c r="N23" s="30">
        <v>0.91369047619047605</v>
      </c>
      <c r="O23" s="30">
        <v>1.90922619047619</v>
      </c>
      <c r="P23" s="30">
        <v>2.0895765472312702</v>
      </c>
      <c r="Q23" s="30">
        <v>66.25</v>
      </c>
      <c r="R23" s="30">
        <v>105</v>
      </c>
      <c r="S23" s="30">
        <v>1.0472972972973</v>
      </c>
      <c r="T23" s="30">
        <v>3.1683333333333299</v>
      </c>
      <c r="U23" s="30">
        <v>3.0252473118279601</v>
      </c>
      <c r="V23" s="30">
        <v>105</v>
      </c>
      <c r="W23" s="32">
        <v>139.833333333333</v>
      </c>
      <c r="X23" s="30">
        <v>1.1611111111111001</v>
      </c>
      <c r="Y23" s="30">
        <v>4.0594444444444404</v>
      </c>
      <c r="Z23" s="30">
        <v>3.4961722488038598</v>
      </c>
      <c r="AA23" s="35">
        <f t="shared" si="0"/>
        <v>1.1497395833333282</v>
      </c>
      <c r="AB23" s="27">
        <f t="shared" si="1"/>
        <v>48.28906249999978</v>
      </c>
      <c r="AC23" s="36">
        <f t="shared" si="2"/>
        <v>91.544270833333229</v>
      </c>
    </row>
    <row r="24" spans="1:29" x14ac:dyDescent="0.3">
      <c r="A24" s="62"/>
      <c r="B24" s="29">
        <v>8.3125</v>
      </c>
      <c r="C24" s="29">
        <v>15.25</v>
      </c>
      <c r="D24" s="30">
        <v>0.49553571428571402</v>
      </c>
      <c r="E24" s="30">
        <v>0.68169642857142898</v>
      </c>
      <c r="F24" s="30">
        <v>1.3756756756756801</v>
      </c>
      <c r="G24" s="29">
        <v>15.25</v>
      </c>
      <c r="H24" s="29">
        <v>45.75</v>
      </c>
      <c r="I24" s="30">
        <v>0.66304347826086996</v>
      </c>
      <c r="J24" s="30">
        <v>1.2286684782608699</v>
      </c>
      <c r="K24" s="30">
        <v>1.8530737704918001</v>
      </c>
      <c r="L24" s="29">
        <v>45.75</v>
      </c>
      <c r="M24" s="30">
        <v>74.5625</v>
      </c>
      <c r="N24" s="30">
        <v>1.0290178571428601</v>
      </c>
      <c r="O24" s="30">
        <v>2.0375000000000001</v>
      </c>
      <c r="P24" s="30">
        <v>1.9800433839479401</v>
      </c>
      <c r="Q24" s="30">
        <v>74.5625</v>
      </c>
      <c r="R24" s="30">
        <v>107</v>
      </c>
      <c r="S24" s="30">
        <v>0.87668918918918903</v>
      </c>
      <c r="T24" s="30">
        <v>3.2169642857142802</v>
      </c>
      <c r="U24" s="30">
        <v>3.6694467382328599</v>
      </c>
      <c r="V24" s="30">
        <v>107</v>
      </c>
      <c r="W24" s="32">
        <v>133.75</v>
      </c>
      <c r="X24" s="30">
        <v>0.89166666666666705</v>
      </c>
      <c r="Y24" s="30">
        <v>3.4404166666666698</v>
      </c>
      <c r="Z24" s="30">
        <v>3.8584112149532701</v>
      </c>
      <c r="AA24" s="35">
        <f t="shared" si="0"/>
        <v>0.9248046875</v>
      </c>
      <c r="AB24" s="27">
        <f t="shared" si="1"/>
        <v>38.841796875</v>
      </c>
      <c r="AC24" s="36">
        <f t="shared" si="2"/>
        <v>94.908203125</v>
      </c>
    </row>
    <row r="25" spans="1:29" x14ac:dyDescent="0.3">
      <c r="A25" s="63"/>
      <c r="B25" s="29">
        <v>8.5625</v>
      </c>
      <c r="C25" s="29">
        <v>15.214285714285699</v>
      </c>
      <c r="D25" s="30">
        <v>0.47512755102040799</v>
      </c>
      <c r="E25" s="30">
        <v>0.67</v>
      </c>
      <c r="F25" s="30">
        <v>1.4101476510067099</v>
      </c>
      <c r="G25" s="29">
        <v>15.214285714285699</v>
      </c>
      <c r="H25" s="29">
        <v>48.1</v>
      </c>
      <c r="I25" s="30">
        <v>0.71490683229813701</v>
      </c>
      <c r="J25" s="30">
        <v>1.12293478260869</v>
      </c>
      <c r="K25" s="30">
        <v>1.5707428323197199</v>
      </c>
      <c r="L25" s="29">
        <v>48.1</v>
      </c>
      <c r="M25" s="30">
        <v>79.7</v>
      </c>
      <c r="N25" s="30">
        <v>1.1285714285714299</v>
      </c>
      <c r="O25" s="30">
        <v>2.4607142857142899</v>
      </c>
      <c r="P25" s="30">
        <v>2.18037974683544</v>
      </c>
      <c r="Q25" s="30">
        <v>79.7</v>
      </c>
      <c r="R25" s="30">
        <v>114</v>
      </c>
      <c r="S25" s="30">
        <v>0.927027027027027</v>
      </c>
      <c r="T25" s="30">
        <v>3.1231428571428599</v>
      </c>
      <c r="U25" s="30">
        <v>3.36898792169929</v>
      </c>
      <c r="V25" s="30">
        <v>114</v>
      </c>
      <c r="W25" s="32">
        <v>136.25</v>
      </c>
      <c r="X25" s="30">
        <v>0.74166666666666703</v>
      </c>
      <c r="Y25" s="30">
        <v>3.45508333333333</v>
      </c>
      <c r="Z25" s="30">
        <v>4.6585393258426997</v>
      </c>
      <c r="AA25" s="35">
        <f t="shared" si="0"/>
        <v>0.88359374999999996</v>
      </c>
      <c r="AB25" s="27">
        <f t="shared" si="1"/>
        <v>37.110937499999999</v>
      </c>
      <c r="AC25" s="36">
        <f t="shared" si="2"/>
        <v>99.139062499999994</v>
      </c>
    </row>
    <row r="26" spans="1:29" x14ac:dyDescent="0.3">
      <c r="A26" s="33" t="s">
        <v>57</v>
      </c>
      <c r="B26" s="34">
        <f>AVERAGE(B4:B25)</f>
        <v>8.0453192640692635</v>
      </c>
      <c r="C26" s="34">
        <f t="shared" ref="C26:AC26" si="3">AVERAGE(C4:C25)</f>
        <v>14.693722943722946</v>
      </c>
      <c r="D26" s="34">
        <f t="shared" si="3"/>
        <v>0.47488597711811997</v>
      </c>
      <c r="E26" s="34">
        <f t="shared" si="3"/>
        <v>0.68212527056277061</v>
      </c>
      <c r="F26" s="34">
        <f t="shared" si="3"/>
        <v>1.4369002479071933</v>
      </c>
      <c r="G26" s="34">
        <f t="shared" si="3"/>
        <v>14.693722943722946</v>
      </c>
      <c r="H26" s="34">
        <f t="shared" si="3"/>
        <v>44.396888528138533</v>
      </c>
      <c r="I26" s="34">
        <f t="shared" si="3"/>
        <v>0.64572099096555613</v>
      </c>
      <c r="J26" s="34">
        <f t="shared" si="3"/>
        <v>1.1720065170336911</v>
      </c>
      <c r="K26" s="34">
        <f t="shared" si="3"/>
        <v>1.8181763419196928</v>
      </c>
      <c r="L26" s="34">
        <f t="shared" si="3"/>
        <v>44.396888528138533</v>
      </c>
      <c r="M26" s="34">
        <f t="shared" si="3"/>
        <v>72.043695887445907</v>
      </c>
      <c r="N26" s="34">
        <f t="shared" si="3"/>
        <v>0.98738597711812048</v>
      </c>
      <c r="O26" s="34">
        <f t="shared" si="3"/>
        <v>2.1677300749845405</v>
      </c>
      <c r="P26" s="34">
        <f t="shared" si="3"/>
        <v>2.20011436244131</v>
      </c>
      <c r="Q26" s="34">
        <f t="shared" si="3"/>
        <v>72.043695887445907</v>
      </c>
      <c r="R26" s="34">
        <f t="shared" si="3"/>
        <v>108.65205627705626</v>
      </c>
      <c r="S26" s="34">
        <f t="shared" si="3"/>
        <v>0.98941514566514466</v>
      </c>
      <c r="T26" s="34">
        <f t="shared" si="3"/>
        <v>3.1470401978973399</v>
      </c>
      <c r="U26" s="34">
        <f t="shared" si="3"/>
        <v>3.1949867018833404</v>
      </c>
      <c r="V26" s="34">
        <f t="shared" si="3"/>
        <v>108.65205627705626</v>
      </c>
      <c r="W26" s="34">
        <f t="shared" si="3"/>
        <v>137.34096320346319</v>
      </c>
      <c r="X26" s="34">
        <f t="shared" si="3"/>
        <v>0.9562968975468974</v>
      </c>
      <c r="Y26" s="34">
        <f t="shared" si="3"/>
        <v>3.4940820707070701</v>
      </c>
      <c r="Z26" s="34">
        <f t="shared" si="3"/>
        <v>3.6841596255719078</v>
      </c>
      <c r="AA26" s="34">
        <f t="shared" si="3"/>
        <v>1.02026980181277</v>
      </c>
      <c r="AB26" s="34">
        <f t="shared" si="3"/>
        <v>42.851331676136347</v>
      </c>
      <c r="AC26" s="34">
        <f t="shared" si="3"/>
        <v>94.489631527326821</v>
      </c>
    </row>
    <row r="27" spans="1:29" x14ac:dyDescent="0.3">
      <c r="AC27" s="27">
        <f>_xlfn.STDEV.S(AC4:AC25)</f>
        <v>4.3283785294816752</v>
      </c>
    </row>
  </sheetData>
  <mergeCells count="12">
    <mergeCell ref="Q2:U2"/>
    <mergeCell ref="V1:Z1"/>
    <mergeCell ref="V2:Z2"/>
    <mergeCell ref="B1:F1"/>
    <mergeCell ref="G1:K1"/>
    <mergeCell ref="L1:P1"/>
    <mergeCell ref="Q1:U1"/>
    <mergeCell ref="A2:A3"/>
    <mergeCell ref="B2:F2"/>
    <mergeCell ref="G2:K2"/>
    <mergeCell ref="A4:A25"/>
    <mergeCell ref="L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TFB</vt:lpstr>
      <vt:lpstr>DLY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904606344@qq.com</cp:lastModifiedBy>
  <dcterms:created xsi:type="dcterms:W3CDTF">2015-06-05T18:19:34Z</dcterms:created>
  <dcterms:modified xsi:type="dcterms:W3CDTF">2026-03-25T03:35:52Z</dcterms:modified>
</cp:coreProperties>
</file>